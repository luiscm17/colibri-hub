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i unidad\ALMACEN DATOS 2026\GESTION 2026\CAMIONES 2026\"/>
    </mc:Choice>
  </mc:AlternateContent>
  <xr:revisionPtr revIDLastSave="0" documentId="13_ncr:1_{9B7A0E38-1D49-4F4D-B062-32CF2887916D}" xr6:coauthVersionLast="47" xr6:coauthVersionMax="47" xr10:uidLastSave="{00000000-0000-0000-0000-000000000000}"/>
  <bookViews>
    <workbookView xWindow="-120" yWindow="-120" windowWidth="29040" windowHeight="15840" firstSheet="3" activeTab="4" xr2:uid="{00000000-000D-0000-FFFF-FFFF00000000}"/>
  </bookViews>
  <sheets>
    <sheet name="VALORES" sheetId="1" state="hidden" r:id="rId1"/>
    <sheet name="PRODUCTO TERM" sheetId="2" state="hidden" r:id="rId2"/>
    <sheet name="DESPERDICIOS" sheetId="3" state="hidden" r:id="rId3"/>
    <sheet name="RESUMEN" sheetId="4" r:id="rId4"/>
    <sheet name="FARDOS" sheetId="5" r:id="rId5"/>
    <sheet name="Hoja1" sheetId="6" state="hidden" r:id="rId6"/>
  </sheets>
  <definedNames>
    <definedName name="_xlnm._FilterDatabase" localSheetId="1" hidden="1">'PRODUCTO TERM'!$A$8:$O$109</definedName>
    <definedName name="_xlnm.Print_Area" localSheetId="4">FARDOS!$A$1:$H$97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5" i="5" l="1"/>
  <c r="F66" i="5"/>
  <c r="F67" i="5"/>
  <c r="F68" i="5"/>
  <c r="F69" i="5"/>
  <c r="F70" i="5"/>
  <c r="F71" i="5"/>
  <c r="F72" i="5"/>
  <c r="F73" i="5"/>
  <c r="F74" i="5"/>
  <c r="F75" i="5"/>
  <c r="F63" i="5"/>
  <c r="F64" i="5"/>
  <c r="F76" i="5"/>
  <c r="F77" i="5"/>
  <c r="F78" i="5"/>
  <c r="F79" i="5"/>
  <c r="F80" i="5"/>
  <c r="F90" i="5" l="1"/>
  <c r="H37" i="5"/>
  <c r="H38" i="5"/>
  <c r="H39" i="5"/>
  <c r="H40" i="5"/>
  <c r="H41" i="5"/>
  <c r="H42" i="5"/>
  <c r="F45" i="5"/>
  <c r="F46" i="5"/>
  <c r="F47" i="5"/>
  <c r="F48" i="5"/>
  <c r="F49" i="5"/>
  <c r="F50" i="5"/>
  <c r="F54" i="5"/>
  <c r="F55" i="5"/>
  <c r="F56" i="5"/>
  <c r="F57" i="5"/>
  <c r="F58" i="5"/>
  <c r="F59" i="5"/>
  <c r="F60" i="5"/>
  <c r="F61" i="5"/>
  <c r="F62" i="5"/>
  <c r="F81" i="5"/>
  <c r="F82" i="5"/>
  <c r="F83" i="5"/>
  <c r="F84" i="5"/>
  <c r="H36" i="5"/>
  <c r="F22" i="5"/>
  <c r="H11" i="5"/>
  <c r="B96" i="5"/>
  <c r="F20" i="5"/>
  <c r="F16" i="5"/>
  <c r="F85" i="5"/>
  <c r="H8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G9" i="4"/>
  <c r="F31" i="5"/>
  <c r="F32" i="5"/>
  <c r="F8" i="5"/>
  <c r="F9" i="5"/>
  <c r="F10" i="5"/>
  <c r="F11" i="5"/>
  <c r="F12" i="5"/>
  <c r="F13" i="5"/>
  <c r="F14" i="5"/>
  <c r="F15" i="5"/>
  <c r="F17" i="5"/>
  <c r="F18" i="5"/>
  <c r="F19" i="5"/>
  <c r="F21" i="5"/>
  <c r="F23" i="5"/>
  <c r="F24" i="5"/>
  <c r="F25" i="5"/>
  <c r="F26" i="5"/>
  <c r="F27" i="5"/>
  <c r="F28" i="5"/>
  <c r="F29" i="5"/>
  <c r="F33" i="5"/>
  <c r="F34" i="5"/>
  <c r="F35" i="5"/>
  <c r="F36" i="5"/>
  <c r="F37" i="5"/>
  <c r="F38" i="5"/>
  <c r="F39" i="5"/>
  <c r="F40" i="5"/>
  <c r="F41" i="5"/>
  <c r="F42" i="5"/>
  <c r="F43" i="5"/>
  <c r="F44" i="5"/>
  <c r="F51" i="5"/>
  <c r="F52" i="5"/>
  <c r="F53" i="5"/>
  <c r="F86" i="5"/>
  <c r="F87" i="5"/>
  <c r="F88" i="5"/>
  <c r="F89" i="5"/>
  <c r="F91" i="5"/>
  <c r="F92" i="5"/>
  <c r="F93" i="5"/>
  <c r="F94" i="5"/>
  <c r="F95" i="5"/>
  <c r="F30" i="5"/>
  <c r="H9" i="5" l="1"/>
  <c r="H10" i="5"/>
  <c r="H12" i="5"/>
  <c r="H13" i="5"/>
  <c r="H14" i="5"/>
  <c r="H15" i="5"/>
  <c r="H16" i="5"/>
  <c r="H17" i="5"/>
  <c r="H18" i="5"/>
  <c r="H19" i="5"/>
  <c r="H20" i="5"/>
  <c r="H21" i="5"/>
  <c r="H22" i="5"/>
  <c r="B4" i="5"/>
  <c r="B5" i="5" s="1"/>
  <c r="D96" i="5" l="1"/>
  <c r="H126" i="5"/>
  <c r="C98" i="5" l="1"/>
  <c r="E5" i="5"/>
  <c r="L11" i="4"/>
  <c r="L10" i="4" l="1"/>
  <c r="C12" i="4" s="1"/>
  <c r="C13" i="4" s="1"/>
  <c r="G6" i="3" l="1"/>
  <c r="G5" i="3"/>
  <c r="C7" i="3"/>
  <c r="C6" i="3"/>
  <c r="C5" i="3"/>
  <c r="C4" i="3"/>
  <c r="D13" i="4" l="1"/>
  <c r="C5" i="4"/>
  <c r="C6" i="4" s="1"/>
  <c r="D6" i="4" s="1"/>
  <c r="B14" i="4" l="1"/>
  <c r="B7" i="4"/>
  <c r="D4" i="2"/>
  <c r="N109" i="2" l="1"/>
  <c r="H109" i="2"/>
  <c r="D5" i="2" s="1"/>
  <c r="O109" i="2"/>
  <c r="M109" i="2"/>
  <c r="L109" i="2"/>
  <c r="D7" i="2" s="1"/>
  <c r="G4" i="3" s="1"/>
  <c r="K109" i="2"/>
  <c r="D6" i="2" s="1"/>
  <c r="H8" i="3" l="1"/>
  <c r="D14" i="4"/>
</calcChain>
</file>

<file path=xl/sharedStrings.xml><?xml version="1.0" encoding="utf-8"?>
<sst xmlns="http://schemas.openxmlformats.org/spreadsheetml/2006/main" count="192" uniqueCount="93">
  <si>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</si>
  <si>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</si>
  <si>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</si>
  <si>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</si>
  <si>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</si>
  <si>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</si>
  <si>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</si>
  <si>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</si>
  <si>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</si>
  <si>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</si>
  <si>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</si>
  <si>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</si>
  <si>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ITEM</t>
  </si>
  <si>
    <t>FECHA</t>
  </si>
  <si>
    <t>COLOR</t>
  </si>
  <si>
    <t>COD. COLOR</t>
  </si>
  <si>
    <t>COD. PROD.</t>
  </si>
  <si>
    <t>TITULO</t>
  </si>
  <si>
    <t>BLS + CNS</t>
  </si>
  <si>
    <t>P. BRUTO</t>
  </si>
  <si>
    <t>TARA CNS</t>
  </si>
  <si>
    <t>TARA BLS.</t>
  </si>
  <si>
    <t>P.NETO</t>
  </si>
  <si>
    <t>DESP. NETO</t>
  </si>
  <si>
    <t>DESP. BRUTO</t>
  </si>
  <si>
    <t>MADEJAS</t>
  </si>
  <si>
    <t>P.N. MADEJA</t>
  </si>
  <si>
    <t>PRODUCTO TERMINADO</t>
  </si>
  <si>
    <t>PESO BRUTO PROD. TERM.:</t>
  </si>
  <si>
    <t>PESO NETO PRODUCTO TERM.:</t>
  </si>
  <si>
    <t>PESO NETO DESP. DEV.:</t>
  </si>
  <si>
    <t>TEORICO</t>
  </si>
  <si>
    <t>DESPERDICIO</t>
  </si>
  <si>
    <t>NUMERO DE LOTES</t>
  </si>
  <si>
    <t>CANTIDAD</t>
  </si>
  <si>
    <t>PESO NETO</t>
  </si>
  <si>
    <t>PORCENTAJE</t>
  </si>
  <si>
    <t>MAT. PRIMA LLEGADA</t>
  </si>
  <si>
    <t>LOTES</t>
  </si>
  <si>
    <t>KG</t>
  </si>
  <si>
    <t>DESPERDICIOS DIARIOS</t>
  </si>
  <si>
    <t>PREPARACION:</t>
  </si>
  <si>
    <t>CONTINUAS:</t>
  </si>
  <si>
    <t>CAÑETES:</t>
  </si>
  <si>
    <t>CONERAS:</t>
  </si>
  <si>
    <t>CONT</t>
  </si>
  <si>
    <t>CÑTS</t>
  </si>
  <si>
    <t>CNRS</t>
  </si>
  <si>
    <t>DEV</t>
  </si>
  <si>
    <t>CONTROL PLANTA</t>
  </si>
  <si>
    <t>COONTROL TNT</t>
  </si>
  <si>
    <t>PREP</t>
  </si>
  <si>
    <t>RECICLADO:</t>
  </si>
  <si>
    <t>DEVANADO:</t>
  </si>
  <si>
    <t>CTL PLANTA:</t>
  </si>
  <si>
    <t>CTL TNT:</t>
  </si>
  <si>
    <t>TOTAL PESO NETO:</t>
  </si>
  <si>
    <t>P. NETO</t>
  </si>
  <si>
    <t>NUMERO DE LOTES:</t>
  </si>
  <si>
    <t>MAT. PRIMA - PROD. TERM.</t>
  </si>
  <si>
    <t>PRODUCTO TERM.</t>
  </si>
  <si>
    <t>CANT. LOTES PROD. TERM.</t>
  </si>
  <si>
    <t>TOTAL MATERIA PRIMA</t>
  </si>
  <si>
    <t>CAMION - 9/2014</t>
  </si>
  <si>
    <t>CAMION - 9</t>
  </si>
  <si>
    <t>prep. Melange</t>
  </si>
  <si>
    <t>CONT. MELANGE</t>
  </si>
  <si>
    <t>CONERAS MELANGE</t>
  </si>
  <si>
    <t>MELANGE</t>
  </si>
  <si>
    <t>BLANCO</t>
  </si>
  <si>
    <t>NEGRO</t>
  </si>
  <si>
    <t>NEGRO (%)</t>
  </si>
  <si>
    <t>BLANCO (%)</t>
  </si>
  <si>
    <t>MELANGE GRIS  401</t>
  </si>
  <si>
    <t>fecha ingreso:</t>
  </si>
  <si>
    <t>PARTIDA:</t>
  </si>
  <si>
    <t>Nº BULTO</t>
  </si>
  <si>
    <t>P. NETO KG.</t>
  </si>
  <si>
    <t>FECHA ENTREGA</t>
  </si>
  <si>
    <t>KILOS ENTREGA</t>
  </si>
  <si>
    <t>FARDOS ENTREGA:</t>
  </si>
  <si>
    <t>STOCK FARDOS:</t>
  </si>
  <si>
    <t>STOCK Kg.:</t>
  </si>
  <si>
    <t>FECHA ING.:</t>
  </si>
  <si>
    <t>FARDOS</t>
  </si>
  <si>
    <t>TOTAL Kg.</t>
  </si>
  <si>
    <t>Columna1</t>
  </si>
  <si>
    <t>NOTA: 10 LOTES EN CAMION 01-2024</t>
  </si>
  <si>
    <t xml:space="preserve"> </t>
  </si>
  <si>
    <t>TOTAL FARDOS</t>
  </si>
  <si>
    <t>INFORME GENERAL DEL CAMION - 56 - 2025</t>
  </si>
  <si>
    <t>ENTREGADO</t>
  </si>
  <si>
    <t>LISTA DE EMPAQUE  " CAMION 01-2026"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</si>
</sst>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0.0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0" xfId="0" applyFont="1"/>
    <xf numFmtId="0" fontId="8" fillId="0" borderId="0" xfId="0" applyFont="1"/>
    <xf numFmtId="0" fontId="8" fillId="0" borderId="1" xfId="0" applyFont="1" applyBorder="1"/>
    <xf numFmtId="0" fontId="8" fillId="0" borderId="5" xfId="0" applyFont="1" applyBorder="1"/>
    <xf numFmtId="0" fontId="8" fillId="0" borderId="6" xfId="0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5" fontId="8" fillId="0" borderId="11" xfId="0" applyNumberFormat="1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13" fillId="3" borderId="1" xfId="0" applyFont="1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/>
    <xf numFmtId="0" fontId="13" fillId="4" borderId="1" xfId="0" applyFont="1" applyFill="1" applyBorder="1"/>
    <xf numFmtId="0" fontId="13" fillId="0" borderId="3" xfId="0" applyFont="1" applyBorder="1"/>
    <xf numFmtId="0" fontId="13" fillId="0" borderId="20" xfId="0" applyFont="1" applyBorder="1" applyAlignment="1">
      <alignment horizontal="left" vertical="top"/>
    </xf>
    <xf numFmtId="0" fontId="10" fillId="2" borderId="1" xfId="0" applyFont="1" applyFill="1" applyBorder="1"/>
    <xf numFmtId="0" fontId="0" fillId="6" borderId="0" xfId="0" applyFill="1"/>
    <xf numFmtId="0" fontId="8" fillId="6" borderId="3" xfId="0" applyFont="1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4" xfId="0" applyBorder="1" applyAlignment="1">
      <alignment horizontal="center" vertical="center"/>
    </xf>
    <xf numFmtId="14" fontId="0" fillId="6" borderId="0" xfId="0" applyNumberFormat="1" applyFill="1"/>
    <xf numFmtId="0" fontId="0" fillId="6" borderId="4" xfId="0" applyFill="1" applyBorder="1" applyAlignment="1">
      <alignment horizontal="center" vertical="center"/>
    </xf>
    <xf numFmtId="17" fontId="0" fillId="6" borderId="3" xfId="0" applyNumberForma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14" fontId="0" fillId="6" borderId="2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4" fontId="12" fillId="6" borderId="3" xfId="0" applyNumberFormat="1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17" fontId="12" fillId="6" borderId="3" xfId="0" applyNumberFormat="1" applyFont="1" applyFill="1" applyBorder="1" applyAlignment="1">
      <alignment horizontal="center" vertical="center"/>
    </xf>
    <xf numFmtId="0" fontId="12" fillId="6" borderId="0" xfId="0" applyFont="1" applyFill="1"/>
    <xf numFmtId="0" fontId="8" fillId="3" borderId="21" xfId="0" applyFont="1" applyFill="1" applyBorder="1" applyAlignment="1">
      <alignment horizontal="center" vertical="center" wrapText="1"/>
    </xf>
    <xf numFmtId="164" fontId="21" fillId="0" borderId="3" xfId="0" applyNumberFormat="1" applyFont="1" applyBorder="1"/>
    <xf numFmtId="164" fontId="8" fillId="0" borderId="2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164" fontId="8" fillId="0" borderId="3" xfId="0" applyNumberFormat="1" applyFont="1" applyBorder="1"/>
    <xf numFmtId="0" fontId="22" fillId="7" borderId="3" xfId="0" applyFont="1" applyFill="1" applyBorder="1" applyAlignment="1">
      <alignment horizontal="center" vertical="center"/>
    </xf>
    <xf numFmtId="14" fontId="8" fillId="0" borderId="0" xfId="0" applyNumberFormat="1" applyFont="1"/>
    <xf numFmtId="0" fontId="14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43" fontId="14" fillId="0" borderId="0" xfId="0" applyNumberFormat="1" applyFont="1" applyAlignment="1">
      <alignment horizontal="center"/>
    </xf>
    <xf numFmtId="43" fontId="8" fillId="0" borderId="0" xfId="0" applyNumberFormat="1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14" fontId="13" fillId="0" borderId="0" xfId="0" applyNumberFormat="1" applyFont="1"/>
    <xf numFmtId="43" fontId="13" fillId="0" borderId="0" xfId="0" applyNumberFormat="1" applyFont="1"/>
    <xf numFmtId="43" fontId="0" fillId="0" borderId="0" xfId="0" applyNumberFormat="1"/>
    <xf numFmtId="0" fontId="23" fillId="8" borderId="0" xfId="0" applyFont="1" applyFill="1" applyAlignment="1">
      <alignment horizontal="center" vertical="center" wrapText="1"/>
    </xf>
    <xf numFmtId="43" fontId="1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5" fontId="0" fillId="0" borderId="0" xfId="0" applyNumberFormat="1" applyAlignment="1">
      <alignment horizontal="center"/>
    </xf>
    <xf numFmtId="43" fontId="14" fillId="0" borderId="0" xfId="0" applyNumberFormat="1" applyFont="1"/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4" fontId="13" fillId="0" borderId="0" xfId="0" applyNumberFormat="1" applyFont="1" applyAlignment="1">
      <alignment horizontal="center"/>
    </xf>
    <xf numFmtId="2" fontId="0" fillId="6" borderId="0" xfId="0" applyNumberFormat="1" applyFill="1" applyAlignment="1">
      <alignment horizontal="center"/>
    </xf>
    <xf numFmtId="0" fontId="11" fillId="6" borderId="0" xfId="0" applyFont="1" applyFill="1" applyAlignment="1">
      <alignment horizontal="center"/>
    </xf>
    <xf numFmtId="43" fontId="0" fillId="6" borderId="0" xfId="0" applyNumberFormat="1" applyFill="1"/>
    <xf numFmtId="43" fontId="14" fillId="6" borderId="0" xfId="0" applyNumberFormat="1" applyFont="1" applyFill="1"/>
    <xf numFmtId="14" fontId="6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6" fillId="6" borderId="0" xfId="0" applyNumberFormat="1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13" fillId="0" borderId="0" xfId="0" applyFont="1"/>
    <xf numFmtId="0" fontId="6" fillId="6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13" fillId="4" borderId="7" xfId="0" applyFont="1" applyFill="1" applyBorder="1" applyAlignment="1">
      <alignment horizontal="left" vertical="top"/>
    </xf>
    <xf numFmtId="0" fontId="13" fillId="4" borderId="8" xfId="0" applyFont="1" applyFill="1" applyBorder="1" applyAlignment="1">
      <alignment horizontal="left" vertical="top"/>
    </xf>
    <xf numFmtId="0" fontId="13" fillId="4" borderId="9" xfId="0" applyFont="1" applyFill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3" borderId="7" xfId="0" applyFont="1" applyFill="1" applyBorder="1" applyAlignment="1">
      <alignment horizontal="left" vertical="top"/>
    </xf>
    <xf numFmtId="0" fontId="13" fillId="3" borderId="8" xfId="0" applyFont="1" applyFill="1" applyBorder="1" applyAlignment="1">
      <alignment horizontal="left" vertical="top"/>
    </xf>
    <xf numFmtId="0" fontId="13" fillId="3" borderId="9" xfId="0" applyFont="1" applyFill="1" applyBorder="1" applyAlignment="1">
      <alignment horizontal="left" vertical="top"/>
    </xf>
    <xf numFmtId="0" fontId="13" fillId="0" borderId="1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9" xfId="0" applyFont="1" applyBorder="1" applyAlignment="1">
      <alignment horizontal="center" vertical="top"/>
    </xf>
    <xf numFmtId="0" fontId="13" fillId="0" borderId="20" xfId="0" applyFont="1" applyBorder="1" applyAlignment="1">
      <alignment horizontal="center" vertical="top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14" fillId="3" borderId="0" xfId="0" applyFont="1" applyFill="1" applyAlignment="1">
      <alignment horizontal="right"/>
    </xf>
    <xf numFmtId="0" fontId="17" fillId="0" borderId="17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3" fillId="5" borderId="7" xfId="0" applyFont="1" applyFill="1" applyBorder="1" applyAlignment="1">
      <alignment horizontal="center"/>
    </xf>
    <xf numFmtId="0" fontId="13" fillId="5" borderId="8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164" fontId="16" fillId="6" borderId="13" xfId="0" applyNumberFormat="1" applyFont="1" applyFill="1" applyBorder="1" applyAlignment="1">
      <alignment horizontal="center"/>
    </xf>
    <xf numFmtId="164" fontId="16" fillId="6" borderId="14" xfId="0" applyNumberFormat="1" applyFont="1" applyFill="1" applyBorder="1" applyAlignment="1">
      <alignment horizontal="center"/>
    </xf>
    <xf numFmtId="164" fontId="16" fillId="6" borderId="15" xfId="0" applyNumberFormat="1" applyFont="1" applyFill="1" applyBorder="1" applyAlignment="1">
      <alignment horizontal="center"/>
    </xf>
    <xf numFmtId="164" fontId="16" fillId="6" borderId="16" xfId="0" applyNumberFormat="1" applyFont="1" applyFill="1" applyBorder="1" applyAlignment="1">
      <alignment horizontal="center"/>
    </xf>
    <xf numFmtId="164" fontId="20" fillId="2" borderId="13" xfId="0" applyNumberFormat="1" applyFont="1" applyFill="1" applyBorder="1" applyAlignment="1">
      <alignment horizontal="center" vertical="center"/>
    </xf>
    <xf numFmtId="164" fontId="20" fillId="2" borderId="14" xfId="0" applyNumberFormat="1" applyFont="1" applyFill="1" applyBorder="1" applyAlignment="1">
      <alignment horizontal="center" vertical="center"/>
    </xf>
    <xf numFmtId="164" fontId="20" fillId="2" borderId="15" xfId="0" applyNumberFormat="1" applyFont="1" applyFill="1" applyBorder="1" applyAlignment="1">
      <alignment horizontal="center" vertical="center"/>
    </xf>
    <xf numFmtId="164" fontId="20" fillId="2" borderId="16" xfId="0" applyNumberFormat="1" applyFont="1" applyFill="1" applyBorder="1" applyAlignment="1">
      <alignment horizontal="center" vertical="center"/>
    </xf>
    <xf numFmtId="164" fontId="16" fillId="0" borderId="13" xfId="0" applyNumberFormat="1" applyFont="1" applyBorder="1" applyAlignment="1">
      <alignment horizontal="left" vertical="top"/>
    </xf>
    <xf numFmtId="0" fontId="16" fillId="0" borderId="14" xfId="0" applyFont="1" applyBorder="1" applyAlignment="1">
      <alignment horizontal="left" vertical="top"/>
    </xf>
    <xf numFmtId="0" fontId="16" fillId="0" borderId="15" xfId="0" applyFont="1" applyBorder="1" applyAlignment="1">
      <alignment horizontal="left" vertical="top"/>
    </xf>
    <xf numFmtId="0" fontId="16" fillId="0" borderId="16" xfId="0" applyFont="1" applyBorder="1" applyAlignment="1">
      <alignment horizontal="left" vertical="top"/>
    </xf>
    <xf numFmtId="0" fontId="19" fillId="0" borderId="0" xfId="0" applyFont="1" applyAlignment="1">
      <alignment horizontal="center" vertical="center"/>
    </xf>
    <xf numFmtId="0" fontId="15" fillId="5" borderId="1" xfId="0" applyFont="1" applyFill="1" applyBorder="1" applyAlignment="1">
      <alignment horizontal="center"/>
    </xf>
    <xf numFmtId="0" fontId="15" fillId="5" borderId="7" xfId="0" applyFont="1" applyFill="1" applyBorder="1" applyAlignment="1">
      <alignment horizontal="center"/>
    </xf>
    <xf numFmtId="0" fontId="15" fillId="5" borderId="8" xfId="0" applyFont="1" applyFill="1" applyBorder="1" applyAlignment="1">
      <alignment horizontal="center"/>
    </xf>
    <xf numFmtId="0" fontId="15" fillId="5" borderId="9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14"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</dxf>
    <dxf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textRotation="0" indent="0" justifyLastLine="0" shrinkToFit="0" readingOrder="0"/>
    </dxf>
    <dxf>
      <numFmt numFmtId="2" formatCode="0.00"/>
      <alignment horizontal="center" textRotation="0" indent="0" justifyLastLine="0" shrinkToFit="0" readingOrder="0"/>
    </dxf>
    <dxf>
      <numFmt numFmtId="20" formatCode="d\-mmm\-yy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B62803-4DC0-41B6-AFAB-C84C9103FDA5}" name="FARDOS" displayName="FARDOS" ref="A7:F95" totalsRowShown="0" headerRowDxfId="10">
  <autoFilter ref="A7:F95" xr:uid="{28B62803-4DC0-41B6-AFAB-C84C9103FDA5}"/>
  <sortState xmlns:xlrd2="http://schemas.microsoft.com/office/spreadsheetml/2017/richdata2" ref="A8:F95">
    <sortCondition ref="A7:A95"/>
  </sortState>
  <tableColumns count="6">
    <tableColumn id="1" xr3:uid="{98FD3E4C-36BF-4684-BFA4-9ED10EEB0C52}" name="Nº BULTO" dataDxfId="9"/>
    <tableColumn id="2" xr3:uid="{1DD60518-D571-4C8D-AD32-0ED9F9F47161}" name="P. NETO KG." dataDxfId="8"/>
    <tableColumn id="3" xr3:uid="{9DD710BB-BE62-4A43-A50C-F70CA261DC5E}" name="FECHA ENTREGA" dataDxfId="7"/>
    <tableColumn id="5" xr3:uid="{D2091746-EF35-48DF-B6BF-DC8A4445229A}" name="KILOS ENTREGA" dataDxfId="6"/>
    <tableColumn id="4" xr3:uid="{E67FE25F-14D2-42D3-BEF3-9B2C911B6416}" name=" " dataDxfId="5"/>
    <tableColumn id="6" xr3:uid="{E279800B-3576-4095-ADED-897AE323C14D}" name="Columna1" dataDxfId="4">
      <calculatedColumnFormula>B8-D8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13A2BF-E556-419B-BA37-CE3F1CBD2DBF}" name="Tabla3" displayName="Tabla3" ref="G7:H42" insertRowShift="1" totalsRowShown="0" headerRowDxfId="3" dataDxfId="2">
  <autoFilter ref="G7:H42" xr:uid="{5413A2BF-E556-419B-BA37-CE3F1CBD2DBF}"/>
  <tableColumns count="2">
    <tableColumn id="1" xr3:uid="{48C8CD3D-159F-4D8F-9A53-996B53A50672}" name="FECHA" dataDxfId="1"/>
    <tableColumn id="2" xr3:uid="{8141F780-678C-4581-80F3-63F39F2FC090}" name="TOTAL Kg." dataDxfId="0">
      <calculatedColumnFormula>SUMIF(FARDOS[FECHA ENTREGA],Tabla3[[#This Row],[FECHA]],FARDOS[KILOS ENTREGA])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18" sqref="B18"/>
    </sheetView>
  </sheetViews>
  <sheetFormatPr baseColWidth="10" defaultRowHeight="15" x14ac:dyDescent="0.25"/>
  <sheetData>
    <row r="1" spans="1:2" x14ac:dyDescent="0.25">
      <c r="A1" t="s">
        <v>0</v>
      </c>
      <c r="B1">
        <v>2012</v>
      </c>
    </row>
    <row r="2" spans="1:2" x14ac:dyDescent="0.25">
      <c r="A2" t="s">
        <v>1</v>
      </c>
      <c r="B2">
        <v>2013</v>
      </c>
    </row>
    <row r="3" spans="1:2" x14ac:dyDescent="0.25">
      <c r="A3" t="s">
        <v>2</v>
      </c>
      <c r="B3">
        <v>2014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</sheetData>
  <dataValidations count="1">
    <dataValidation type="list" allowBlank="1" showInputMessage="1" showErrorMessage="1" sqref="A1" xr:uid="{00000000-0002-0000-0000-000000000000}">
      <formula1>$A$1:$A$12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9"/>
  <sheetViews>
    <sheetView zoomScale="115" zoomScaleNormal="115" workbookViewId="0">
      <selection activeCell="D4" sqref="D4:E4"/>
    </sheetView>
  </sheetViews>
  <sheetFormatPr baseColWidth="10" defaultRowHeight="15" x14ac:dyDescent="0.25"/>
  <cols>
    <col min="1" max="1" width="4" customWidth="1"/>
    <col min="4" max="4" width="7.140625" customWidth="1"/>
    <col min="5" max="5" width="10.140625" customWidth="1"/>
    <col min="6" max="7" width="6.28515625" customWidth="1"/>
    <col min="8" max="8" width="8.28515625" customWidth="1"/>
    <col min="9" max="9" width="6" customWidth="1"/>
    <col min="10" max="10" width="5.7109375" customWidth="1"/>
    <col min="11" max="11" width="7.85546875" customWidth="1"/>
    <col min="12" max="12" width="5.85546875" customWidth="1"/>
    <col min="13" max="13" width="4.5703125" customWidth="1"/>
    <col min="14" max="14" width="6.28515625" customWidth="1"/>
    <col min="15" max="15" width="9" customWidth="1"/>
  </cols>
  <sheetData>
    <row r="1" spans="1:15" x14ac:dyDescent="0.25">
      <c r="E1" s="97" t="s">
        <v>27</v>
      </c>
      <c r="F1" s="97"/>
      <c r="G1" s="97"/>
      <c r="H1" s="97"/>
    </row>
    <row r="2" spans="1:15" x14ac:dyDescent="0.25">
      <c r="E2" s="97" t="s">
        <v>64</v>
      </c>
      <c r="F2" s="97"/>
      <c r="G2" s="97"/>
      <c r="H2" s="97"/>
    </row>
    <row r="3" spans="1:15" ht="15.75" thickBot="1" x14ac:dyDescent="0.3"/>
    <row r="4" spans="1:15" ht="16.5" thickBot="1" x14ac:dyDescent="0.3">
      <c r="A4" s="98" t="s">
        <v>61</v>
      </c>
      <c r="B4" s="99"/>
      <c r="C4" s="100"/>
      <c r="D4" s="107">
        <f>COUNTA(B9:B108)</f>
        <v>0</v>
      </c>
      <c r="E4" s="108"/>
      <c r="F4" s="29" t="s">
        <v>38</v>
      </c>
    </row>
    <row r="5" spans="1:15" ht="16.5" thickBot="1" x14ac:dyDescent="0.3">
      <c r="A5" s="101" t="s">
        <v>28</v>
      </c>
      <c r="B5" s="102"/>
      <c r="C5" s="103"/>
      <c r="D5" s="107">
        <f>H109</f>
        <v>0</v>
      </c>
      <c r="E5" s="108"/>
      <c r="F5" s="29" t="s">
        <v>39</v>
      </c>
    </row>
    <row r="6" spans="1:15" ht="16.5" thickBot="1" x14ac:dyDescent="0.3">
      <c r="A6" s="101" t="s">
        <v>29</v>
      </c>
      <c r="B6" s="102"/>
      <c r="C6" s="103"/>
      <c r="D6" s="107">
        <f>K109</f>
        <v>0</v>
      </c>
      <c r="E6" s="108"/>
      <c r="F6" s="29" t="s">
        <v>39</v>
      </c>
    </row>
    <row r="7" spans="1:15" ht="24.75" customHeight="1" thickBot="1" x14ac:dyDescent="0.3">
      <c r="A7" s="104" t="s">
        <v>30</v>
      </c>
      <c r="B7" s="105"/>
      <c r="C7" s="106"/>
      <c r="D7" s="109">
        <f>L109</f>
        <v>0</v>
      </c>
      <c r="E7" s="110"/>
      <c r="F7" s="30" t="s">
        <v>39</v>
      </c>
    </row>
    <row r="8" spans="1:15" ht="32.25" customHeight="1" thickBot="1" x14ac:dyDescent="0.3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2" t="s">
        <v>21</v>
      </c>
      <c r="K8" s="2" t="s">
        <v>22</v>
      </c>
      <c r="L8" s="2" t="s">
        <v>23</v>
      </c>
      <c r="M8" s="2" t="s">
        <v>24</v>
      </c>
      <c r="N8" s="2" t="s">
        <v>25</v>
      </c>
      <c r="O8" s="2" t="s">
        <v>26</v>
      </c>
    </row>
    <row r="9" spans="1:15" s="32" customFormat="1" ht="15.75" thickBot="1" x14ac:dyDescent="0.3">
      <c r="A9" s="36">
        <v>1</v>
      </c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</row>
    <row r="10" spans="1:15" s="32" customFormat="1" ht="15.75" thickBot="1" x14ac:dyDescent="0.3">
      <c r="A10" s="36">
        <v>2</v>
      </c>
      <c r="B10" s="3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</row>
    <row r="11" spans="1:15" s="32" customFormat="1" ht="15.75" thickBot="1" x14ac:dyDescent="0.3">
      <c r="A11" s="36">
        <v>3</v>
      </c>
      <c r="B11" s="3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</row>
    <row r="12" spans="1:15" s="32" customFormat="1" ht="15.75" thickBot="1" x14ac:dyDescent="0.3">
      <c r="A12" s="36">
        <v>4</v>
      </c>
      <c r="B12" s="34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</row>
    <row r="13" spans="1:15" s="32" customFormat="1" ht="15.75" thickBot="1" x14ac:dyDescent="0.3">
      <c r="A13" s="36">
        <v>5</v>
      </c>
      <c r="B13" s="34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</row>
    <row r="14" spans="1:15" s="32" customFormat="1" ht="15.75" thickBot="1" x14ac:dyDescent="0.3">
      <c r="A14" s="36">
        <v>6</v>
      </c>
      <c r="B14" s="34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</row>
    <row r="15" spans="1:15" s="32" customFormat="1" ht="15.75" thickBot="1" x14ac:dyDescent="0.3">
      <c r="A15" s="36">
        <v>7</v>
      </c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</row>
    <row r="16" spans="1:15" s="32" customFormat="1" ht="15.75" thickBot="1" x14ac:dyDescent="0.3">
      <c r="A16" s="36">
        <v>8</v>
      </c>
      <c r="B16" s="34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</row>
    <row r="17" spans="1:15" s="32" customFormat="1" ht="15.75" thickBot="1" x14ac:dyDescent="0.3">
      <c r="A17" s="36">
        <v>9</v>
      </c>
      <c r="B17" s="34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</row>
    <row r="18" spans="1:15" s="32" customFormat="1" ht="15.75" thickBot="1" x14ac:dyDescent="0.3">
      <c r="A18" s="36">
        <v>10</v>
      </c>
      <c r="B18" s="34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</row>
    <row r="19" spans="1:15" s="32" customFormat="1" ht="15.75" thickBot="1" x14ac:dyDescent="0.3">
      <c r="A19" s="36">
        <v>11</v>
      </c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</row>
    <row r="20" spans="1:15" s="32" customFormat="1" ht="15.75" thickBot="1" x14ac:dyDescent="0.3">
      <c r="A20" s="36">
        <v>12</v>
      </c>
      <c r="B20" s="34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</row>
    <row r="21" spans="1:15" s="32" customFormat="1" ht="15.75" thickBot="1" x14ac:dyDescent="0.3">
      <c r="A21" s="36">
        <v>13</v>
      </c>
      <c r="B21" s="34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</row>
    <row r="22" spans="1:15" s="32" customFormat="1" ht="15.75" thickBot="1" x14ac:dyDescent="0.3">
      <c r="A22" s="36">
        <v>14</v>
      </c>
      <c r="B22" s="34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</row>
    <row r="23" spans="1:15" s="32" customFormat="1" ht="15.75" thickBot="1" x14ac:dyDescent="0.3">
      <c r="A23" s="36">
        <v>15</v>
      </c>
      <c r="B23" s="34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</row>
    <row r="24" spans="1:15" s="32" customFormat="1" ht="15.75" thickBot="1" x14ac:dyDescent="0.3">
      <c r="A24" s="36">
        <v>16</v>
      </c>
      <c r="B24" s="34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</row>
    <row r="25" spans="1:15" s="32" customFormat="1" ht="15.75" thickBot="1" x14ac:dyDescent="0.3">
      <c r="A25" s="36">
        <v>17</v>
      </c>
      <c r="B25" s="34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</row>
    <row r="26" spans="1:15" s="32" customFormat="1" ht="15.75" thickBot="1" x14ac:dyDescent="0.3">
      <c r="A26" s="36">
        <v>18</v>
      </c>
      <c r="B26" s="34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</row>
    <row r="27" spans="1:15" s="32" customFormat="1" ht="15.75" thickBot="1" x14ac:dyDescent="0.3">
      <c r="A27" s="36">
        <v>19</v>
      </c>
      <c r="B27" s="34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</row>
    <row r="28" spans="1:15" s="49" customFormat="1" ht="15.75" thickBot="1" x14ac:dyDescent="0.3">
      <c r="A28" s="36">
        <v>20</v>
      </c>
      <c r="B28" s="46"/>
      <c r="C28" s="47"/>
      <c r="D28" s="47"/>
      <c r="E28" s="47"/>
      <c r="F28" s="48"/>
      <c r="G28" s="47"/>
      <c r="H28" s="47"/>
      <c r="I28" s="47"/>
      <c r="J28" s="47"/>
      <c r="K28" s="47"/>
      <c r="L28" s="47"/>
      <c r="M28" s="47"/>
      <c r="N28" s="47"/>
      <c r="O28" s="47"/>
    </row>
    <row r="29" spans="1:15" s="32" customFormat="1" ht="14.25" customHeight="1" thickBot="1" x14ac:dyDescent="0.3">
      <c r="A29" s="36">
        <v>21</v>
      </c>
      <c r="B29" s="34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</row>
    <row r="30" spans="1:15" s="32" customFormat="1" ht="15.75" thickBot="1" x14ac:dyDescent="0.3">
      <c r="A30" s="36">
        <v>22</v>
      </c>
      <c r="B30" s="34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</row>
    <row r="31" spans="1:15" s="32" customFormat="1" ht="15.75" thickBot="1" x14ac:dyDescent="0.3">
      <c r="A31" s="36">
        <v>23</v>
      </c>
      <c r="B31" s="34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</row>
    <row r="32" spans="1:15" s="32" customFormat="1" ht="15.75" thickBot="1" x14ac:dyDescent="0.3">
      <c r="A32" s="36">
        <v>24</v>
      </c>
      <c r="B32" s="34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</row>
    <row r="33" spans="1:15" s="32" customFormat="1" ht="15.75" thickBot="1" x14ac:dyDescent="0.3">
      <c r="A33" s="36">
        <v>25</v>
      </c>
      <c r="B33" s="34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</row>
    <row r="34" spans="1:15" s="32" customFormat="1" ht="15.75" thickBot="1" x14ac:dyDescent="0.3">
      <c r="A34" s="36">
        <v>26</v>
      </c>
      <c r="B34" s="34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</row>
    <row r="35" spans="1:15" s="32" customFormat="1" ht="15.75" thickBot="1" x14ac:dyDescent="0.3">
      <c r="A35" s="36">
        <v>27</v>
      </c>
      <c r="B35" s="34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</row>
    <row r="36" spans="1:15" s="32" customFormat="1" ht="15.75" thickBot="1" x14ac:dyDescent="0.3">
      <c r="A36" s="36">
        <v>28</v>
      </c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</row>
    <row r="37" spans="1:15" s="32" customFormat="1" ht="15.75" thickBot="1" x14ac:dyDescent="0.3">
      <c r="A37" s="36">
        <v>29</v>
      </c>
      <c r="B37" s="34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</row>
    <row r="38" spans="1:15" s="32" customFormat="1" ht="15.75" thickBot="1" x14ac:dyDescent="0.3">
      <c r="A38" s="36">
        <v>30</v>
      </c>
      <c r="B38" s="34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</row>
    <row r="39" spans="1:15" s="32" customFormat="1" ht="15.75" thickBot="1" x14ac:dyDescent="0.3">
      <c r="A39" s="36">
        <v>31</v>
      </c>
      <c r="B39" s="39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</row>
    <row r="40" spans="1:15" s="32" customFormat="1" ht="15.75" thickBot="1" x14ac:dyDescent="0.3">
      <c r="A40" s="36">
        <v>32</v>
      </c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</row>
    <row r="41" spans="1:15" s="32" customFormat="1" ht="15.75" thickBot="1" x14ac:dyDescent="0.3">
      <c r="A41" s="36">
        <v>33</v>
      </c>
      <c r="B41" s="34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</row>
    <row r="42" spans="1:15" s="32" customFormat="1" ht="15.75" thickBot="1" x14ac:dyDescent="0.3">
      <c r="A42" s="36">
        <v>34</v>
      </c>
      <c r="B42" s="34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</row>
    <row r="43" spans="1:15" s="32" customFormat="1" ht="15.75" thickBot="1" x14ac:dyDescent="0.3">
      <c r="A43" s="36">
        <v>35</v>
      </c>
      <c r="B43" s="34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</row>
    <row r="44" spans="1:15" s="32" customFormat="1" ht="15.75" thickBot="1" x14ac:dyDescent="0.3">
      <c r="A44" s="36">
        <v>36</v>
      </c>
      <c r="B44" s="34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</row>
    <row r="45" spans="1:15" s="32" customFormat="1" ht="15.75" thickBot="1" x14ac:dyDescent="0.3">
      <c r="A45" s="36">
        <v>37</v>
      </c>
      <c r="B45" s="34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</row>
    <row r="46" spans="1:15" s="32" customFormat="1" ht="15.75" thickBot="1" x14ac:dyDescent="0.3">
      <c r="A46" s="36">
        <v>38</v>
      </c>
      <c r="B46" s="34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</row>
    <row r="47" spans="1:15" s="32" customFormat="1" ht="15.75" thickBot="1" x14ac:dyDescent="0.3">
      <c r="A47" s="36">
        <v>39</v>
      </c>
      <c r="B47" s="34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</row>
    <row r="48" spans="1:15" s="32" customFormat="1" ht="15.75" thickBot="1" x14ac:dyDescent="0.3">
      <c r="A48" s="36">
        <v>40</v>
      </c>
      <c r="B48" s="34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</row>
    <row r="49" spans="1:15" s="32" customFormat="1" ht="15.75" thickBot="1" x14ac:dyDescent="0.3">
      <c r="A49" s="36">
        <v>41</v>
      </c>
      <c r="B49" s="34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</row>
    <row r="50" spans="1:15" s="32" customFormat="1" ht="15.75" thickBot="1" x14ac:dyDescent="0.3">
      <c r="A50" s="36">
        <v>42</v>
      </c>
      <c r="B50" s="34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</row>
    <row r="51" spans="1:15" s="32" customFormat="1" ht="15.75" thickBot="1" x14ac:dyDescent="0.3">
      <c r="A51" s="36">
        <v>43</v>
      </c>
      <c r="B51" s="34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</row>
    <row r="52" spans="1:15" s="32" customFormat="1" ht="15.75" thickBot="1" x14ac:dyDescent="0.3">
      <c r="A52" s="36">
        <v>44</v>
      </c>
      <c r="B52" s="34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</row>
    <row r="53" spans="1:15" s="32" customFormat="1" ht="15.75" thickBot="1" x14ac:dyDescent="0.3">
      <c r="A53" s="36">
        <v>45</v>
      </c>
      <c r="B53" s="34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</row>
    <row r="54" spans="1:15" s="32" customFormat="1" ht="15.75" thickBot="1" x14ac:dyDescent="0.3">
      <c r="A54" s="36">
        <v>46</v>
      </c>
      <c r="B54" s="34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</row>
    <row r="55" spans="1:15" s="32" customFormat="1" ht="15.75" thickBot="1" x14ac:dyDescent="0.3">
      <c r="A55" s="36">
        <v>47</v>
      </c>
      <c r="B55" s="34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</row>
    <row r="56" spans="1:15" s="32" customFormat="1" ht="15.75" thickBot="1" x14ac:dyDescent="0.3">
      <c r="A56" s="36">
        <v>48</v>
      </c>
      <c r="B56" s="34"/>
      <c r="C56" s="35"/>
      <c r="D56" s="35"/>
      <c r="E56" s="35"/>
      <c r="F56" s="41"/>
      <c r="G56" s="35"/>
      <c r="H56" s="35"/>
      <c r="I56" s="35"/>
      <c r="J56" s="35"/>
      <c r="K56" s="35"/>
      <c r="L56" s="35"/>
      <c r="M56" s="35"/>
      <c r="N56" s="35"/>
      <c r="O56" s="35"/>
    </row>
    <row r="57" spans="1:15" s="32" customFormat="1" ht="15.75" thickBot="1" x14ac:dyDescent="0.3">
      <c r="A57" s="36">
        <v>49</v>
      </c>
      <c r="B57" s="34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</row>
    <row r="58" spans="1:15" s="32" customFormat="1" ht="15.75" thickBot="1" x14ac:dyDescent="0.3">
      <c r="A58" s="36">
        <v>50</v>
      </c>
      <c r="B58" s="34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</row>
    <row r="59" spans="1:15" s="32" customFormat="1" ht="15.75" thickBot="1" x14ac:dyDescent="0.3">
      <c r="A59" s="36">
        <v>51</v>
      </c>
      <c r="B59" s="34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</row>
    <row r="60" spans="1:15" s="32" customFormat="1" ht="15.75" thickBot="1" x14ac:dyDescent="0.3">
      <c r="A60" s="36">
        <v>52</v>
      </c>
      <c r="B60" s="34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</row>
    <row r="61" spans="1:15" s="32" customFormat="1" ht="15.75" thickBot="1" x14ac:dyDescent="0.3">
      <c r="A61" s="36">
        <v>53</v>
      </c>
      <c r="B61" s="34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</row>
    <row r="62" spans="1:15" s="32" customFormat="1" ht="15.75" thickBot="1" x14ac:dyDescent="0.3">
      <c r="A62" s="36">
        <v>54</v>
      </c>
      <c r="B62" s="34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</row>
    <row r="63" spans="1:15" s="32" customFormat="1" ht="15.75" thickBot="1" x14ac:dyDescent="0.3">
      <c r="A63" s="36">
        <v>55</v>
      </c>
      <c r="B63" s="34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</row>
    <row r="64" spans="1:15" s="32" customFormat="1" ht="15.75" thickBot="1" x14ac:dyDescent="0.3">
      <c r="A64" s="36">
        <v>56</v>
      </c>
      <c r="B64" s="34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</row>
    <row r="65" spans="1:15" s="32" customFormat="1" ht="15.75" thickBot="1" x14ac:dyDescent="0.3">
      <c r="A65" s="36">
        <v>57</v>
      </c>
      <c r="B65" s="34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</row>
    <row r="66" spans="1:15" s="32" customFormat="1" ht="15.75" thickBot="1" x14ac:dyDescent="0.3">
      <c r="A66" s="36">
        <v>58</v>
      </c>
      <c r="B66" s="34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</row>
    <row r="67" spans="1:15" s="32" customFormat="1" ht="15.75" thickBot="1" x14ac:dyDescent="0.3">
      <c r="A67" s="36">
        <v>59</v>
      </c>
      <c r="B67" s="34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</row>
    <row r="68" spans="1:15" s="32" customFormat="1" ht="15.75" thickBot="1" x14ac:dyDescent="0.3">
      <c r="A68" s="36">
        <v>60</v>
      </c>
      <c r="B68" s="34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</row>
    <row r="69" spans="1:15" s="32" customFormat="1" ht="15.75" thickBot="1" x14ac:dyDescent="0.3">
      <c r="A69" s="36">
        <v>61</v>
      </c>
      <c r="B69" s="34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</row>
    <row r="70" spans="1:15" s="32" customFormat="1" ht="15.75" thickBot="1" x14ac:dyDescent="0.3">
      <c r="A70" s="36">
        <v>62</v>
      </c>
      <c r="B70" s="34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</row>
    <row r="71" spans="1:15" s="32" customFormat="1" ht="15.75" thickBot="1" x14ac:dyDescent="0.3">
      <c r="A71" s="36">
        <v>63</v>
      </c>
      <c r="B71" s="34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</row>
    <row r="72" spans="1:15" s="32" customFormat="1" ht="15.75" thickBot="1" x14ac:dyDescent="0.3">
      <c r="A72" s="36">
        <v>64</v>
      </c>
      <c r="B72" s="34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</row>
    <row r="73" spans="1:15" s="32" customFormat="1" ht="15.75" thickBot="1" x14ac:dyDescent="0.3">
      <c r="A73" s="36">
        <v>65</v>
      </c>
      <c r="B73" s="34"/>
      <c r="C73" s="42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</row>
    <row r="74" spans="1:15" s="32" customFormat="1" ht="15.75" thickBot="1" x14ac:dyDescent="0.3">
      <c r="A74" s="36">
        <v>66</v>
      </c>
      <c r="B74" s="34"/>
      <c r="C74" s="43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</row>
    <row r="75" spans="1:15" s="32" customFormat="1" ht="15.75" thickBot="1" x14ac:dyDescent="0.3">
      <c r="A75" s="36">
        <v>67</v>
      </c>
      <c r="B75" s="34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</row>
    <row r="76" spans="1:15" s="32" customFormat="1" ht="15.75" thickBot="1" x14ac:dyDescent="0.3">
      <c r="A76" s="36">
        <v>68</v>
      </c>
      <c r="B76" s="34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</row>
    <row r="77" spans="1:15" s="32" customFormat="1" ht="15.75" thickBot="1" x14ac:dyDescent="0.3">
      <c r="A77" s="36">
        <v>69</v>
      </c>
      <c r="B77" s="34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</row>
    <row r="78" spans="1:15" s="32" customFormat="1" ht="15.75" thickBot="1" x14ac:dyDescent="0.3">
      <c r="A78" s="36">
        <v>70</v>
      </c>
      <c r="B78" s="34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</row>
    <row r="79" spans="1:15" s="32" customFormat="1" ht="15.75" thickBot="1" x14ac:dyDescent="0.3">
      <c r="A79" s="36">
        <v>71</v>
      </c>
      <c r="B79" s="34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</row>
    <row r="80" spans="1:15" s="32" customFormat="1" ht="15.75" thickBot="1" x14ac:dyDescent="0.3">
      <c r="A80" s="36">
        <v>72</v>
      </c>
      <c r="B80" s="34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</row>
    <row r="81" spans="1:15" s="32" customFormat="1" ht="15.75" thickBot="1" x14ac:dyDescent="0.3">
      <c r="A81" s="36">
        <v>73</v>
      </c>
      <c r="B81" s="34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</row>
    <row r="82" spans="1:15" s="32" customFormat="1" ht="15.75" thickBot="1" x14ac:dyDescent="0.3">
      <c r="A82" s="36">
        <v>74</v>
      </c>
      <c r="B82" s="34"/>
      <c r="C82" s="43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</row>
    <row r="83" spans="1:15" s="32" customFormat="1" ht="15.75" thickBot="1" x14ac:dyDescent="0.3">
      <c r="A83" s="36">
        <v>75</v>
      </c>
      <c r="B83" s="34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</row>
    <row r="84" spans="1:15" s="32" customFormat="1" ht="15.75" thickBot="1" x14ac:dyDescent="0.3">
      <c r="A84" s="36">
        <v>76</v>
      </c>
      <c r="B84" s="34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</row>
    <row r="85" spans="1:15" s="32" customFormat="1" ht="15.75" thickBot="1" x14ac:dyDescent="0.3">
      <c r="A85" s="36">
        <v>77</v>
      </c>
      <c r="B85" s="34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</row>
    <row r="86" spans="1:15" s="32" customFormat="1" ht="15.75" thickBot="1" x14ac:dyDescent="0.3">
      <c r="A86" s="36">
        <v>78</v>
      </c>
      <c r="B86" s="34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</row>
    <row r="87" spans="1:15" s="32" customFormat="1" ht="15.75" thickBot="1" x14ac:dyDescent="0.3">
      <c r="A87" s="36">
        <v>79</v>
      </c>
      <c r="B87" s="34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</row>
    <row r="88" spans="1:15" s="32" customFormat="1" ht="15.75" thickBot="1" x14ac:dyDescent="0.3">
      <c r="A88" s="36">
        <v>80</v>
      </c>
      <c r="B88" s="34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</row>
    <row r="89" spans="1:15" s="32" customFormat="1" ht="15.75" thickBot="1" x14ac:dyDescent="0.3">
      <c r="A89" s="36">
        <v>81</v>
      </c>
      <c r="B89" s="34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</row>
    <row r="90" spans="1:15" s="32" customFormat="1" ht="15.75" thickBot="1" x14ac:dyDescent="0.3">
      <c r="A90" s="36">
        <v>82</v>
      </c>
      <c r="B90" s="34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</row>
    <row r="91" spans="1:15" s="32" customFormat="1" ht="15.75" thickBot="1" x14ac:dyDescent="0.3">
      <c r="A91" s="36">
        <v>83</v>
      </c>
      <c r="B91" s="34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</row>
    <row r="92" spans="1:15" s="32" customFormat="1" ht="15.75" thickBot="1" x14ac:dyDescent="0.3">
      <c r="A92" s="36">
        <v>84</v>
      </c>
      <c r="B92" s="34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</row>
    <row r="93" spans="1:15" s="32" customFormat="1" ht="15.75" thickBot="1" x14ac:dyDescent="0.3">
      <c r="A93" s="36">
        <v>85</v>
      </c>
      <c r="B93" s="34"/>
      <c r="C93" s="42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</row>
    <row r="94" spans="1:15" s="32" customFormat="1" ht="15.75" thickBot="1" x14ac:dyDescent="0.3">
      <c r="A94" s="36">
        <v>86</v>
      </c>
      <c r="B94" s="34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</row>
    <row r="95" spans="1:15" s="32" customFormat="1" ht="15.75" thickBot="1" x14ac:dyDescent="0.3">
      <c r="A95" s="36">
        <v>87</v>
      </c>
      <c r="B95" s="34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</row>
    <row r="96" spans="1:15" s="32" customFormat="1" ht="15.75" thickBot="1" x14ac:dyDescent="0.3">
      <c r="A96" s="36">
        <v>88</v>
      </c>
      <c r="B96" s="34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</row>
    <row r="97" spans="1:15" s="32" customFormat="1" ht="15.75" thickBot="1" x14ac:dyDescent="0.3">
      <c r="A97" s="36">
        <v>89</v>
      </c>
      <c r="B97" s="34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</row>
    <row r="98" spans="1:15" s="32" customFormat="1" ht="15.75" thickBot="1" x14ac:dyDescent="0.3">
      <c r="A98" s="36">
        <v>90</v>
      </c>
      <c r="B98" s="34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</row>
    <row r="99" spans="1:15" s="32" customFormat="1" ht="15.75" thickBot="1" x14ac:dyDescent="0.3">
      <c r="A99" s="36">
        <v>91</v>
      </c>
      <c r="B99" s="34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</row>
    <row r="100" spans="1:15" s="32" customFormat="1" ht="15.75" thickBot="1" x14ac:dyDescent="0.3">
      <c r="A100" s="36">
        <v>92</v>
      </c>
      <c r="B100" s="34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</row>
    <row r="101" spans="1:15" s="32" customFormat="1" ht="15.75" thickBot="1" x14ac:dyDescent="0.3">
      <c r="A101" s="36">
        <v>93</v>
      </c>
      <c r="B101" s="34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</row>
    <row r="102" spans="1:15" s="32" customFormat="1" x14ac:dyDescent="0.25">
      <c r="A102" s="36">
        <v>94</v>
      </c>
      <c r="B102" s="34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</row>
    <row r="103" spans="1:15" s="32" customFormat="1" x14ac:dyDescent="0.25">
      <c r="A103" s="33">
        <v>95</v>
      </c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</row>
    <row r="104" spans="1:15" s="32" customFormat="1" x14ac:dyDescent="0.25">
      <c r="A104" s="33">
        <v>96</v>
      </c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</row>
    <row r="105" spans="1:15" s="32" customFormat="1" x14ac:dyDescent="0.25">
      <c r="A105" s="33">
        <v>97</v>
      </c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</row>
    <row r="106" spans="1:15" s="32" customFormat="1" x14ac:dyDescent="0.25">
      <c r="A106" s="33">
        <v>98</v>
      </c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</row>
    <row r="107" spans="1:15" s="32" customFormat="1" x14ac:dyDescent="0.25">
      <c r="A107" s="33">
        <v>99</v>
      </c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</row>
    <row r="108" spans="1:15" s="32" customFormat="1" x14ac:dyDescent="0.25">
      <c r="A108" s="33">
        <v>100</v>
      </c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</row>
    <row r="109" spans="1:15" x14ac:dyDescent="0.25">
      <c r="C109" s="5"/>
      <c r="D109" s="5"/>
      <c r="E109" s="5"/>
      <c r="F109" s="5"/>
      <c r="G109" s="1"/>
      <c r="H109" s="1">
        <f>SUM(H9:H108)</f>
        <v>0</v>
      </c>
      <c r="I109" s="1"/>
      <c r="J109" s="1"/>
      <c r="K109" s="1">
        <f>SUM(K9:K108)</f>
        <v>0</v>
      </c>
      <c r="L109" s="1">
        <f>SUM(L9:L108)</f>
        <v>0</v>
      </c>
      <c r="M109" s="1">
        <f>SUM(M9:M108)</f>
        <v>0</v>
      </c>
      <c r="N109" s="1">
        <f>SUM(N9:N108)</f>
        <v>0</v>
      </c>
      <c r="O109" s="1">
        <f>SUM(O9:O108)</f>
        <v>0</v>
      </c>
    </row>
  </sheetData>
  <autoFilter ref="A8:O109" xr:uid="{00000000-0009-0000-0000-000001000000}"/>
  <mergeCells count="10">
    <mergeCell ref="A7:C7"/>
    <mergeCell ref="D5:E5"/>
    <mergeCell ref="D6:E6"/>
    <mergeCell ref="D7:E7"/>
    <mergeCell ref="D4:E4"/>
    <mergeCell ref="E1:H1"/>
    <mergeCell ref="E2:H2"/>
    <mergeCell ref="A4:C4"/>
    <mergeCell ref="A5:C5"/>
    <mergeCell ref="A6:C6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"/>
  <sheetViews>
    <sheetView workbookViewId="0">
      <selection activeCell="H8" sqref="H8:I8"/>
    </sheetView>
  </sheetViews>
  <sheetFormatPr baseColWidth="10" defaultRowHeight="15" x14ac:dyDescent="0.25"/>
  <cols>
    <col min="1" max="1" width="11.5703125" customWidth="1"/>
    <col min="2" max="2" width="7" customWidth="1"/>
    <col min="3" max="4" width="7.7109375" customWidth="1"/>
    <col min="5" max="5" width="7.28515625" customWidth="1"/>
    <col min="6" max="6" width="7.7109375" customWidth="1"/>
    <col min="7" max="7" width="9.28515625" customWidth="1"/>
    <col min="8" max="8" width="9.42578125" customWidth="1"/>
  </cols>
  <sheetData>
    <row r="1" spans="1:11" x14ac:dyDescent="0.25">
      <c r="C1" s="111" t="s">
        <v>40</v>
      </c>
      <c r="D1" s="111"/>
      <c r="E1" s="111"/>
      <c r="F1" s="111"/>
      <c r="G1" s="11"/>
    </row>
    <row r="2" spans="1:11" x14ac:dyDescent="0.25">
      <c r="C2" s="112" t="s">
        <v>63</v>
      </c>
      <c r="D2" s="112"/>
      <c r="E2" s="112"/>
      <c r="F2" s="112"/>
    </row>
    <row r="4" spans="1:11" x14ac:dyDescent="0.25">
      <c r="A4" s="112" t="s">
        <v>41</v>
      </c>
      <c r="B4" s="112"/>
      <c r="C4" s="6">
        <f>SUM(B11:B33)</f>
        <v>43</v>
      </c>
      <c r="E4" s="112" t="s">
        <v>53</v>
      </c>
      <c r="F4" s="112"/>
      <c r="G4" s="6">
        <f>SUM(F11:F33)</f>
        <v>0</v>
      </c>
    </row>
    <row r="5" spans="1:11" x14ac:dyDescent="0.25">
      <c r="A5" s="112" t="s">
        <v>42</v>
      </c>
      <c r="B5" s="112"/>
      <c r="C5" s="6">
        <f>SUM(C11:C33)</f>
        <v>281</v>
      </c>
      <c r="E5" s="112" t="s">
        <v>54</v>
      </c>
      <c r="F5" s="112"/>
      <c r="G5" s="6">
        <f>SUM(G11:G33)</f>
        <v>0</v>
      </c>
    </row>
    <row r="6" spans="1:11" x14ac:dyDescent="0.25">
      <c r="A6" s="112" t="s">
        <v>43</v>
      </c>
      <c r="B6" s="112"/>
      <c r="C6" s="6">
        <f>SUM(D11:D33)</f>
        <v>63</v>
      </c>
      <c r="E6" s="112" t="s">
        <v>55</v>
      </c>
      <c r="F6" s="112"/>
      <c r="G6" s="6">
        <f>SUM(H11:H33)</f>
        <v>0</v>
      </c>
    </row>
    <row r="7" spans="1:11" ht="15.75" thickBot="1" x14ac:dyDescent="0.3">
      <c r="A7" s="112" t="s">
        <v>44</v>
      </c>
      <c r="B7" s="112"/>
      <c r="C7" s="6">
        <f>SUM(E11:E33)</f>
        <v>560</v>
      </c>
    </row>
    <row r="8" spans="1:11" ht="27.75" thickTop="1" thickBot="1" x14ac:dyDescent="0.45">
      <c r="A8" s="112" t="s">
        <v>52</v>
      </c>
      <c r="B8" s="112"/>
      <c r="E8" s="113" t="s">
        <v>56</v>
      </c>
      <c r="F8" s="113"/>
      <c r="G8" s="113"/>
      <c r="H8" s="114">
        <f>SUM(C4:C7,G4,G5,G6)</f>
        <v>947</v>
      </c>
      <c r="I8" s="115"/>
    </row>
    <row r="9" spans="1:11" ht="16.5" thickTop="1" thickBot="1" x14ac:dyDescent="0.3"/>
    <row r="10" spans="1:11" ht="29.25" customHeight="1" thickBot="1" x14ac:dyDescent="0.3">
      <c r="A10" s="25" t="s">
        <v>13</v>
      </c>
      <c r="B10" s="25" t="s">
        <v>51</v>
      </c>
      <c r="C10" s="25" t="s">
        <v>45</v>
      </c>
      <c r="D10" s="25" t="s">
        <v>46</v>
      </c>
      <c r="E10" s="25" t="s">
        <v>47</v>
      </c>
      <c r="F10" s="25" t="s">
        <v>48</v>
      </c>
      <c r="G10" s="26" t="s">
        <v>49</v>
      </c>
      <c r="H10" s="26" t="s">
        <v>50</v>
      </c>
      <c r="I10" s="26" t="s">
        <v>65</v>
      </c>
      <c r="J10" s="50" t="s">
        <v>66</v>
      </c>
      <c r="K10" s="50" t="s">
        <v>67</v>
      </c>
    </row>
    <row r="11" spans="1:11" x14ac:dyDescent="0.25">
      <c r="A11" s="13">
        <v>43390</v>
      </c>
      <c r="B11" s="14">
        <v>43</v>
      </c>
      <c r="C11" s="14">
        <v>281</v>
      </c>
      <c r="D11" s="14">
        <v>63</v>
      </c>
      <c r="E11" s="14">
        <v>560</v>
      </c>
      <c r="F11" s="14"/>
      <c r="G11" s="14"/>
      <c r="H11" s="14"/>
      <c r="I11" s="14"/>
    </row>
    <row r="12" spans="1:11" x14ac:dyDescent="0.25">
      <c r="A12" s="15"/>
      <c r="B12" s="4"/>
      <c r="C12" s="4"/>
      <c r="D12" s="4"/>
      <c r="E12" s="4"/>
      <c r="F12" s="4"/>
      <c r="G12" s="4"/>
      <c r="H12" s="4"/>
      <c r="I12" s="4"/>
    </row>
    <row r="13" spans="1:11" x14ac:dyDescent="0.25">
      <c r="A13" s="15"/>
      <c r="B13" s="4"/>
      <c r="C13" s="4"/>
      <c r="D13" s="4"/>
      <c r="E13" s="4"/>
      <c r="F13" s="4"/>
      <c r="G13" s="4"/>
      <c r="H13" s="4"/>
      <c r="I13" s="4"/>
    </row>
    <row r="14" spans="1:11" x14ac:dyDescent="0.25">
      <c r="A14" s="15"/>
      <c r="B14" s="4"/>
      <c r="C14" s="4"/>
      <c r="D14" s="4"/>
      <c r="E14" s="4"/>
      <c r="F14" s="4"/>
      <c r="G14" s="4"/>
      <c r="H14" s="4"/>
      <c r="I14" s="4"/>
    </row>
    <row r="15" spans="1:11" x14ac:dyDescent="0.25">
      <c r="A15" s="15"/>
      <c r="B15" s="4"/>
      <c r="C15" s="4"/>
      <c r="D15" s="4"/>
      <c r="E15" s="4"/>
      <c r="F15" s="4"/>
      <c r="G15" s="4"/>
      <c r="H15" s="4"/>
      <c r="I15" s="4"/>
    </row>
    <row r="16" spans="1:11" x14ac:dyDescent="0.25">
      <c r="A16" s="15"/>
      <c r="B16" s="4"/>
      <c r="C16" s="4"/>
      <c r="D16" s="4"/>
      <c r="E16" s="4"/>
      <c r="F16" s="4"/>
      <c r="G16" s="4"/>
      <c r="H16" s="4"/>
      <c r="I16" s="4"/>
    </row>
    <row r="17" spans="1:9" x14ac:dyDescent="0.25">
      <c r="A17" s="15"/>
      <c r="B17" s="4"/>
      <c r="C17" s="4"/>
      <c r="D17" s="4"/>
      <c r="E17" s="4"/>
      <c r="F17" s="4"/>
      <c r="G17" s="4"/>
      <c r="H17" s="4"/>
      <c r="I17" s="4"/>
    </row>
    <row r="18" spans="1:9" x14ac:dyDescent="0.25">
      <c r="A18" s="15"/>
      <c r="B18" s="4"/>
      <c r="C18" s="4"/>
      <c r="D18" s="4"/>
      <c r="E18" s="4"/>
      <c r="F18" s="4"/>
      <c r="G18" s="4"/>
      <c r="H18" s="4"/>
      <c r="I18" s="4"/>
    </row>
    <row r="19" spans="1:9" x14ac:dyDescent="0.25">
      <c r="A19" s="15"/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15"/>
      <c r="B20" s="4"/>
      <c r="C20" s="4"/>
      <c r="D20" s="4"/>
      <c r="E20" s="4"/>
      <c r="F20" s="4"/>
      <c r="G20" s="4"/>
      <c r="H20" s="4"/>
      <c r="I20" s="4"/>
    </row>
    <row r="21" spans="1:9" x14ac:dyDescent="0.25">
      <c r="A21" s="15"/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15"/>
      <c r="B22" s="4"/>
      <c r="C22" s="4"/>
      <c r="D22" s="4"/>
      <c r="E22" s="4"/>
      <c r="F22" s="4"/>
      <c r="G22" s="4"/>
      <c r="H22" s="4"/>
      <c r="I22" s="4"/>
    </row>
    <row r="23" spans="1:9" x14ac:dyDescent="0.25">
      <c r="A23" s="15"/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15"/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15"/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37"/>
      <c r="B26" s="38"/>
      <c r="C26" s="38"/>
      <c r="D26" s="38"/>
      <c r="E26" s="38"/>
    </row>
    <row r="27" spans="1:9" x14ac:dyDescent="0.25">
      <c r="A27" s="37"/>
      <c r="B27" s="38"/>
      <c r="C27" s="38"/>
      <c r="D27" s="38"/>
      <c r="E27" s="38"/>
    </row>
    <row r="28" spans="1:9" x14ac:dyDescent="0.25">
      <c r="A28" s="37"/>
      <c r="B28" s="38"/>
      <c r="C28" s="38"/>
      <c r="D28" s="38"/>
      <c r="E28" s="38"/>
    </row>
    <row r="29" spans="1:9" x14ac:dyDescent="0.25">
      <c r="A29" s="37"/>
      <c r="C29" s="38"/>
      <c r="D29" s="38"/>
      <c r="E29" s="38"/>
    </row>
    <row r="30" spans="1:9" x14ac:dyDescent="0.25">
      <c r="A30" s="37"/>
      <c r="C30" s="38"/>
      <c r="D30" s="38"/>
      <c r="E30" s="38"/>
    </row>
    <row r="31" spans="1:9" x14ac:dyDescent="0.25">
      <c r="A31" s="37"/>
      <c r="C31" s="38"/>
      <c r="D31" s="38"/>
      <c r="E31" s="38"/>
    </row>
    <row r="32" spans="1:9" x14ac:dyDescent="0.25">
      <c r="A32" s="37"/>
      <c r="C32" s="38"/>
      <c r="D32" s="38"/>
      <c r="E32" s="38"/>
    </row>
    <row r="33" spans="1:8" x14ac:dyDescent="0.25">
      <c r="A33" s="37"/>
      <c r="C33" s="38"/>
      <c r="D33" s="38"/>
      <c r="E33" s="38"/>
      <c r="H33" s="11"/>
    </row>
    <row r="34" spans="1:8" x14ac:dyDescent="0.25">
      <c r="A34" s="37"/>
      <c r="C34" s="38"/>
      <c r="D34" s="38"/>
    </row>
    <row r="35" spans="1:8" x14ac:dyDescent="0.25">
      <c r="A35" s="37"/>
      <c r="C35" s="38"/>
      <c r="D35" s="38"/>
    </row>
  </sheetData>
  <mergeCells count="12">
    <mergeCell ref="C1:F1"/>
    <mergeCell ref="C2:F2"/>
    <mergeCell ref="E8:G8"/>
    <mergeCell ref="H8:I8"/>
    <mergeCell ref="A4:B4"/>
    <mergeCell ref="A5:B5"/>
    <mergeCell ref="A6:B6"/>
    <mergeCell ref="A7:B7"/>
    <mergeCell ref="A8:B8"/>
    <mergeCell ref="E4:F4"/>
    <mergeCell ref="E5:F5"/>
    <mergeCell ref="E6:F6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"/>
  <sheetViews>
    <sheetView zoomScale="115" zoomScaleNormal="115" workbookViewId="0">
      <selection activeCell="F6" sqref="F6"/>
    </sheetView>
  </sheetViews>
  <sheetFormatPr baseColWidth="10" defaultRowHeight="15" x14ac:dyDescent="0.25"/>
  <cols>
    <col min="1" max="1" width="23.28515625" customWidth="1"/>
    <col min="4" max="4" width="12.42578125" customWidth="1"/>
    <col min="5" max="5" width="2.7109375" customWidth="1"/>
    <col min="7" max="7" width="13" customWidth="1"/>
    <col min="8" max="8" width="15.5703125" customWidth="1"/>
    <col min="12" max="12" width="13" customWidth="1"/>
  </cols>
  <sheetData>
    <row r="1" spans="1:13" ht="21" x14ac:dyDescent="0.35">
      <c r="A1" s="120" t="s">
        <v>90</v>
      </c>
      <c r="B1" s="120"/>
      <c r="C1" s="120"/>
      <c r="D1" s="120"/>
      <c r="E1" s="120"/>
      <c r="F1" s="120"/>
      <c r="G1" s="120"/>
      <c r="H1" s="6" t="s">
        <v>74</v>
      </c>
      <c r="I1" s="57">
        <v>45997</v>
      </c>
      <c r="L1" s="6"/>
    </row>
    <row r="2" spans="1:13" ht="15.75" thickBot="1" x14ac:dyDescent="0.3">
      <c r="H2" s="6" t="s">
        <v>75</v>
      </c>
      <c r="I2" s="6">
        <v>50901</v>
      </c>
      <c r="J2" s="6"/>
      <c r="L2" s="6">
        <v>10104</v>
      </c>
    </row>
    <row r="3" spans="1:13" ht="21.75" thickBot="1" x14ac:dyDescent="0.4">
      <c r="B3" s="134" t="s">
        <v>31</v>
      </c>
      <c r="C3" s="134"/>
      <c r="D3" s="134"/>
      <c r="F3" s="116"/>
      <c r="G3" s="116"/>
      <c r="H3" s="116" t="s">
        <v>68</v>
      </c>
      <c r="I3" s="116"/>
    </row>
    <row r="4" spans="1:13" ht="13.9" customHeight="1" thickTop="1" thickBot="1" x14ac:dyDescent="0.3">
      <c r="B4" s="8" t="s">
        <v>34</v>
      </c>
      <c r="C4" s="8" t="s">
        <v>35</v>
      </c>
      <c r="D4" s="7" t="s">
        <v>36</v>
      </c>
      <c r="F4" s="121">
        <v>19310.2</v>
      </c>
      <c r="G4" s="122"/>
      <c r="H4" s="129"/>
      <c r="I4" s="130"/>
    </row>
    <row r="5" spans="1:13" ht="16.5" thickBot="1" x14ac:dyDescent="0.3">
      <c r="A5" s="27" t="s">
        <v>37</v>
      </c>
      <c r="B5" s="16"/>
      <c r="C5" s="3">
        <f>G9</f>
        <v>19310.2</v>
      </c>
      <c r="D5" s="9">
        <v>100</v>
      </c>
      <c r="E5" s="6"/>
      <c r="F5" s="123"/>
      <c r="G5" s="124"/>
      <c r="H5" s="131"/>
      <c r="I5" s="132"/>
    </row>
    <row r="6" spans="1:13" ht="16.5" thickBot="1" x14ac:dyDescent="0.3">
      <c r="A6" s="24" t="s">
        <v>32</v>
      </c>
      <c r="B6" s="16"/>
      <c r="C6" s="3">
        <f>C5*8.5%</f>
        <v>1641.3670000000002</v>
      </c>
      <c r="D6" s="3">
        <f>C6/C5*100</f>
        <v>8.5</v>
      </c>
      <c r="E6" s="6"/>
      <c r="F6" s="23"/>
    </row>
    <row r="7" spans="1:13" ht="16.5" thickBot="1" x14ac:dyDescent="0.3">
      <c r="A7" s="28" t="s">
        <v>33</v>
      </c>
      <c r="B7" s="17">
        <f>(C5-C6)/204.4</f>
        <v>86.442431506849303</v>
      </c>
      <c r="C7" s="3"/>
      <c r="D7" s="3">
        <v>100</v>
      </c>
      <c r="E7" s="6"/>
      <c r="F7" s="133" t="s">
        <v>62</v>
      </c>
      <c r="G7" s="133"/>
      <c r="H7" s="133"/>
      <c r="I7" s="133"/>
    </row>
    <row r="8" spans="1:13" ht="19.5" thickBot="1" x14ac:dyDescent="0.35">
      <c r="F8" s="133"/>
      <c r="G8" s="133"/>
      <c r="H8" s="133"/>
      <c r="I8" s="133"/>
      <c r="J8" s="116" t="s">
        <v>73</v>
      </c>
      <c r="K8" s="116"/>
      <c r="L8" s="116"/>
      <c r="M8" s="116"/>
    </row>
    <row r="9" spans="1:13" ht="16.5" thickTop="1" thickBot="1" x14ac:dyDescent="0.3">
      <c r="G9" s="125">
        <f>F4-H4</f>
        <v>19310.2</v>
      </c>
      <c r="H9" s="126"/>
      <c r="J9" s="56" t="s">
        <v>71</v>
      </c>
      <c r="K9" s="56" t="s">
        <v>72</v>
      </c>
      <c r="L9" s="56" t="s">
        <v>69</v>
      </c>
      <c r="M9" s="56" t="s">
        <v>70</v>
      </c>
    </row>
    <row r="10" spans="1:13" ht="21.75" thickBot="1" x14ac:dyDescent="0.4">
      <c r="A10" s="6"/>
      <c r="B10" s="135" t="s">
        <v>68</v>
      </c>
      <c r="C10" s="136"/>
      <c r="D10" s="137"/>
      <c r="G10" s="127"/>
      <c r="H10" s="128"/>
      <c r="J10" s="55"/>
      <c r="K10" s="55"/>
      <c r="L10" s="51" t="e">
        <f>(M10*K10)/J10</f>
        <v>#DIV/0!</v>
      </c>
      <c r="M10" s="55">
        <v>1332.7</v>
      </c>
    </row>
    <row r="11" spans="1:13" ht="19.5" thickBot="1" x14ac:dyDescent="0.35">
      <c r="A11" s="6"/>
      <c r="B11" s="12" t="s">
        <v>34</v>
      </c>
      <c r="C11" s="12" t="s">
        <v>57</v>
      </c>
      <c r="D11" s="12" t="s">
        <v>36</v>
      </c>
      <c r="J11" s="55">
        <v>0</v>
      </c>
      <c r="K11" s="55">
        <v>0</v>
      </c>
      <c r="L11" s="51" t="e">
        <f>(M11*K11)/J11</f>
        <v>#DIV/0!</v>
      </c>
      <c r="M11" s="55">
        <v>0</v>
      </c>
    </row>
    <row r="12" spans="1:13" ht="16.5" thickBot="1" x14ac:dyDescent="0.3">
      <c r="A12" s="27" t="s">
        <v>60</v>
      </c>
      <c r="B12" s="18"/>
      <c r="C12" s="52" t="e">
        <f>SUM(L10,M10)</f>
        <v>#DIV/0!</v>
      </c>
      <c r="D12" s="22">
        <v>100</v>
      </c>
    </row>
    <row r="13" spans="1:13" ht="16.5" thickBot="1" x14ac:dyDescent="0.3">
      <c r="A13" s="24" t="s">
        <v>32</v>
      </c>
      <c r="B13" s="20"/>
      <c r="C13" s="3" t="e">
        <f>C12*10%</f>
        <v>#DIV/0!</v>
      </c>
      <c r="D13" s="53" t="e">
        <f>C13/C12*100</f>
        <v>#DIV/0!</v>
      </c>
      <c r="F13" s="6" t="s">
        <v>87</v>
      </c>
      <c r="G13" s="6"/>
      <c r="H13" s="6"/>
    </row>
    <row r="14" spans="1:13" ht="16.5" thickBot="1" x14ac:dyDescent="0.3">
      <c r="A14" s="28" t="s">
        <v>58</v>
      </c>
      <c r="B14" s="54" t="e">
        <f>(C12-C13)/204.4</f>
        <v>#DIV/0!</v>
      </c>
      <c r="C14" s="3"/>
      <c r="D14" s="10" t="e">
        <f>B14/B7*100</f>
        <v>#DIV/0!</v>
      </c>
    </row>
    <row r="16" spans="1:13" ht="15.75" thickBot="1" x14ac:dyDescent="0.3"/>
    <row r="17" spans="1:4" ht="16.5" thickBot="1" x14ac:dyDescent="0.3">
      <c r="B17" s="117"/>
      <c r="C17" s="118"/>
      <c r="D17" s="119"/>
    </row>
    <row r="18" spans="1:4" ht="15.75" thickBot="1" x14ac:dyDescent="0.3">
      <c r="B18" s="7"/>
      <c r="C18" s="7"/>
      <c r="D18" s="7"/>
    </row>
    <row r="19" spans="1:4" ht="15.75" thickBot="1" x14ac:dyDescent="0.3">
      <c r="A19" s="31" t="s">
        <v>59</v>
      </c>
      <c r="B19" s="18"/>
      <c r="C19" s="19"/>
      <c r="D19" s="22"/>
    </row>
    <row r="20" spans="1:4" ht="16.5" thickBot="1" x14ac:dyDescent="0.3">
      <c r="A20" s="24" t="s">
        <v>32</v>
      </c>
      <c r="B20" s="20"/>
      <c r="C20" s="3"/>
      <c r="D20" s="10"/>
    </row>
    <row r="21" spans="1:4" ht="16.5" thickBot="1" x14ac:dyDescent="0.3">
      <c r="A21" s="28" t="s">
        <v>33</v>
      </c>
      <c r="B21" s="21"/>
      <c r="C21" s="3"/>
      <c r="D21" s="10"/>
    </row>
  </sheetData>
  <mergeCells count="11">
    <mergeCell ref="J8:M8"/>
    <mergeCell ref="B17:D17"/>
    <mergeCell ref="A1:G1"/>
    <mergeCell ref="F3:G3"/>
    <mergeCell ref="F4:G5"/>
    <mergeCell ref="G9:H10"/>
    <mergeCell ref="H3:I3"/>
    <mergeCell ref="H4:I5"/>
    <mergeCell ref="F7:I8"/>
    <mergeCell ref="B3:D3"/>
    <mergeCell ref="B10:D10"/>
  </mergeCells>
  <pageMargins left="0.7" right="0.7" top="0.75" bottom="0.75" header="0.3" footer="0.3"/>
  <pageSetup scale="76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EE81-8251-459C-AC72-FA396675F339}">
  <dimension ref="A1:K126"/>
  <sheetViews>
    <sheetView tabSelected="1" topLeftCell="A36" zoomScale="126" zoomScaleNormal="126" workbookViewId="0">
      <selection activeCell="C105" sqref="C105"/>
    </sheetView>
  </sheetViews>
  <sheetFormatPr baseColWidth="10" defaultRowHeight="15" x14ac:dyDescent="0.25"/>
  <cols>
    <col min="1" max="1" width="12.140625" style="11" customWidth="1"/>
    <col min="2" max="2" width="17.140625" style="11" customWidth="1"/>
    <col min="3" max="3" width="12.42578125" style="61" customWidth="1"/>
    <col min="4" max="4" width="14.140625" style="61" customWidth="1"/>
    <col min="5" max="5" width="12.28515625" style="61" customWidth="1"/>
    <col min="7" max="7" width="12.28515625" customWidth="1"/>
    <col min="8" max="8" width="13.140625" customWidth="1"/>
    <col min="9" max="9" width="0" hidden="1" customWidth="1"/>
  </cols>
  <sheetData>
    <row r="1" spans="1:11" ht="18.75" x14ac:dyDescent="0.25">
      <c r="A1" s="138" t="s">
        <v>92</v>
      </c>
      <c r="B1" s="138"/>
      <c r="C1" s="138"/>
      <c r="D1" s="138"/>
      <c r="E1" s="138"/>
      <c r="F1" s="138"/>
      <c r="G1" s="138"/>
      <c r="H1" s="138"/>
    </row>
    <row r="2" spans="1:11" ht="18.75" x14ac:dyDescent="0.25">
      <c r="A2" s="66" t="s">
        <v>88</v>
      </c>
      <c r="B2" s="66"/>
      <c r="C2" s="66"/>
      <c r="D2" s="66"/>
      <c r="E2" s="66"/>
    </row>
    <row r="3" spans="1:11" ht="15.75" x14ac:dyDescent="0.25">
      <c r="A3" s="69" t="s">
        <v>89</v>
      </c>
      <c r="B3" s="60">
        <v>86</v>
      </c>
      <c r="C3" s="65" t="s">
        <v>84</v>
      </c>
      <c r="D3" s="68" t="s">
        <v>83</v>
      </c>
      <c r="E3" s="81">
        <v>45997</v>
      </c>
    </row>
    <row r="4" spans="1:11" ht="15.75" x14ac:dyDescent="0.25">
      <c r="A4" s="69" t="s">
        <v>80</v>
      </c>
      <c r="B4" s="60">
        <f>COUNTA(FARDOS[KILOS ENTREGA])</f>
        <v>86</v>
      </c>
      <c r="C4" s="65" t="s">
        <v>84</v>
      </c>
      <c r="D4" s="68" t="s">
        <v>75</v>
      </c>
      <c r="E4" s="61">
        <v>50704</v>
      </c>
    </row>
    <row r="5" spans="1:11" ht="18.75" x14ac:dyDescent="0.25">
      <c r="A5" s="69" t="s">
        <v>81</v>
      </c>
      <c r="B5" s="66">
        <f>B3-B4</f>
        <v>0</v>
      </c>
      <c r="C5" s="65" t="s">
        <v>84</v>
      </c>
      <c r="D5" s="68" t="s">
        <v>82</v>
      </c>
      <c r="E5" s="64">
        <f>B96-D96</f>
        <v>0</v>
      </c>
    </row>
    <row r="7" spans="1:11" ht="30" x14ac:dyDescent="0.25">
      <c r="A7" s="59" t="s">
        <v>76</v>
      </c>
      <c r="B7" s="59" t="s">
        <v>77</v>
      </c>
      <c r="C7" s="59" t="s">
        <v>78</v>
      </c>
      <c r="D7" s="79" t="s">
        <v>79</v>
      </c>
      <c r="E7" s="59" t="s">
        <v>88</v>
      </c>
      <c r="F7" s="73" t="s">
        <v>86</v>
      </c>
      <c r="G7" s="11" t="s">
        <v>13</v>
      </c>
      <c r="H7" s="11" t="s">
        <v>85</v>
      </c>
    </row>
    <row r="8" spans="1:11" ht="18.75" x14ac:dyDescent="0.3">
      <c r="A8" s="75">
        <v>1727</v>
      </c>
      <c r="B8" s="75">
        <v>221.6</v>
      </c>
      <c r="C8" s="78">
        <v>46036</v>
      </c>
      <c r="D8" s="80">
        <v>221.6</v>
      </c>
      <c r="E8" s="67" t="s">
        <v>91</v>
      </c>
      <c r="F8" s="72">
        <f t="shared" ref="F8:F39" si="0">B8-D8</f>
        <v>0</v>
      </c>
      <c r="G8" s="70">
        <v>46034</v>
      </c>
      <c r="H8" s="77">
        <f>SUMIF(FARDOS[FECHA ENTREGA],Tabla3[[#This Row],[FECHA]],FARDOS[KILOS ENTREGA])</f>
        <v>0</v>
      </c>
    </row>
    <row r="9" spans="1:11" ht="18.75" x14ac:dyDescent="0.3">
      <c r="A9" s="75">
        <v>1728</v>
      </c>
      <c r="B9" s="75">
        <v>221.6</v>
      </c>
      <c r="C9" s="78">
        <v>46038</v>
      </c>
      <c r="D9" s="80">
        <v>221.6</v>
      </c>
      <c r="E9" s="67" t="s">
        <v>91</v>
      </c>
      <c r="F9" s="72">
        <f t="shared" si="0"/>
        <v>0</v>
      </c>
      <c r="G9" s="70">
        <v>46035</v>
      </c>
      <c r="H9" s="77">
        <f>SUMIF(FARDOS[FECHA ENTREGA],Tabla3[[#This Row],[FECHA]],FARDOS[KILOS ENTREGA])</f>
        <v>2256.6</v>
      </c>
    </row>
    <row r="10" spans="1:11" ht="18.75" x14ac:dyDescent="0.3">
      <c r="A10" s="75">
        <v>1729</v>
      </c>
      <c r="B10" s="75">
        <v>222.6</v>
      </c>
      <c r="C10" s="78">
        <v>46037</v>
      </c>
      <c r="D10" s="80">
        <v>222.6</v>
      </c>
      <c r="E10" s="67" t="s">
        <v>91</v>
      </c>
      <c r="F10" s="72">
        <f t="shared" si="0"/>
        <v>0</v>
      </c>
      <c r="G10" s="70">
        <v>46036</v>
      </c>
      <c r="H10" s="77">
        <f>SUMIF(FARDOS[FECHA ENTREGA],Tabla3[[#This Row],[FECHA]],FARDOS[KILOS ENTREGA])</f>
        <v>3133.2</v>
      </c>
      <c r="J10" s="72"/>
    </row>
    <row r="11" spans="1:11" ht="18.75" x14ac:dyDescent="0.3">
      <c r="A11" s="75">
        <v>1730</v>
      </c>
      <c r="B11" s="75">
        <v>223.3</v>
      </c>
      <c r="C11" s="78">
        <v>46037</v>
      </c>
      <c r="D11" s="80">
        <v>223.3</v>
      </c>
      <c r="E11" s="67" t="s">
        <v>91</v>
      </c>
      <c r="F11" s="72">
        <f t="shared" si="0"/>
        <v>0</v>
      </c>
      <c r="G11" s="70">
        <v>46037</v>
      </c>
      <c r="H11" s="77">
        <f>SUMIF(FARDOS[FECHA ENTREGA],Tabla3[[#This Row],[FECHA]],FARDOS[KILOS ENTREGA])</f>
        <v>4033.1999999999994</v>
      </c>
      <c r="J11" s="72"/>
      <c r="K11" s="72"/>
    </row>
    <row r="12" spans="1:11" ht="18.75" x14ac:dyDescent="0.3">
      <c r="A12" s="75">
        <v>1731</v>
      </c>
      <c r="B12" s="75">
        <v>223.1</v>
      </c>
      <c r="C12" s="89">
        <v>46037</v>
      </c>
      <c r="D12" s="80">
        <v>223.1</v>
      </c>
      <c r="E12" s="67" t="s">
        <v>91</v>
      </c>
      <c r="F12" s="72">
        <f t="shared" si="0"/>
        <v>0</v>
      </c>
      <c r="G12" s="70">
        <v>46038</v>
      </c>
      <c r="H12" s="77">
        <f>SUMIF(FARDOS[FECHA ENTREGA],Tabla3[[#This Row],[FECHA]],FARDOS[KILOS ENTREGA])</f>
        <v>4718.9000000000005</v>
      </c>
      <c r="J12" s="72"/>
      <c r="K12" s="72"/>
    </row>
    <row r="13" spans="1:11" ht="18.75" x14ac:dyDescent="0.3">
      <c r="A13" s="75">
        <v>1732</v>
      </c>
      <c r="B13" s="75">
        <v>224.4</v>
      </c>
      <c r="C13" s="86">
        <v>46036</v>
      </c>
      <c r="D13" s="80">
        <v>224.4</v>
      </c>
      <c r="E13" s="67" t="s">
        <v>91</v>
      </c>
      <c r="F13" s="72">
        <f t="shared" si="0"/>
        <v>0</v>
      </c>
      <c r="G13" s="70">
        <v>46039</v>
      </c>
      <c r="H13" s="77">
        <f>SUMIF(FARDOS[FECHA ENTREGA],Tabla3[[#This Row],[FECHA]],FARDOS[KILOS ENTREGA])</f>
        <v>1350.6999999999998</v>
      </c>
      <c r="J13" s="72"/>
      <c r="K13" s="72"/>
    </row>
    <row r="14" spans="1:11" ht="18.75" x14ac:dyDescent="0.3">
      <c r="A14" s="75">
        <v>1733</v>
      </c>
      <c r="B14" s="75">
        <v>223.2</v>
      </c>
      <c r="C14" s="91">
        <v>46036</v>
      </c>
      <c r="D14" s="80">
        <v>223.2</v>
      </c>
      <c r="E14" s="67" t="s">
        <v>91</v>
      </c>
      <c r="F14" s="72">
        <f t="shared" si="0"/>
        <v>0</v>
      </c>
      <c r="G14" s="70">
        <v>46040</v>
      </c>
      <c r="H14" s="77">
        <f>SUMIF(FARDOS[FECHA ENTREGA],Tabla3[[#This Row],[FECHA]],FARDOS[KILOS ENTREGA])</f>
        <v>3817.6000000000004</v>
      </c>
      <c r="K14" s="72"/>
    </row>
    <row r="15" spans="1:11" s="32" customFormat="1" ht="18.75" x14ac:dyDescent="0.3">
      <c r="A15" s="75">
        <v>1734</v>
      </c>
      <c r="B15" s="75">
        <v>225.1</v>
      </c>
      <c r="C15" s="88">
        <v>46037</v>
      </c>
      <c r="D15" s="82">
        <v>225.1</v>
      </c>
      <c r="E15" s="83" t="s">
        <v>91</v>
      </c>
      <c r="F15" s="84">
        <f t="shared" si="0"/>
        <v>0</v>
      </c>
      <c r="G15" s="70">
        <v>46041</v>
      </c>
      <c r="H15" s="85">
        <f>SUMIF(FARDOS[FECHA ENTREGA],Tabla3[[#This Row],[FECHA]],FARDOS[KILOS ENTREGA])</f>
        <v>0</v>
      </c>
    </row>
    <row r="16" spans="1:11" ht="18.75" x14ac:dyDescent="0.3">
      <c r="A16" s="75">
        <v>1735</v>
      </c>
      <c r="B16" s="75">
        <v>223.8</v>
      </c>
      <c r="C16" s="91">
        <v>46036</v>
      </c>
      <c r="D16" s="80">
        <v>223.8</v>
      </c>
      <c r="E16" s="67" t="s">
        <v>91</v>
      </c>
      <c r="F16" s="72">
        <f t="shared" si="0"/>
        <v>0</v>
      </c>
      <c r="G16" s="70">
        <v>46042</v>
      </c>
      <c r="H16" s="77">
        <f>SUMIF(FARDOS[FECHA ENTREGA],Tabla3[[#This Row],[FECHA]],FARDOS[KILOS ENTREGA])</f>
        <v>0</v>
      </c>
      <c r="J16" s="72"/>
    </row>
    <row r="17" spans="1:10" ht="18.75" x14ac:dyDescent="0.3">
      <c r="A17" s="75">
        <v>1736</v>
      </c>
      <c r="B17" s="75">
        <v>223.9</v>
      </c>
      <c r="C17" s="86">
        <v>46036</v>
      </c>
      <c r="D17" s="80">
        <v>223.9</v>
      </c>
      <c r="E17" s="67" t="s">
        <v>91</v>
      </c>
      <c r="F17" s="72">
        <f t="shared" si="0"/>
        <v>0</v>
      </c>
      <c r="G17" s="70">
        <v>46043</v>
      </c>
      <c r="H17" s="77">
        <f>SUMIF(FARDOS[FECHA ENTREGA],Tabla3[[#This Row],[FECHA]],FARDOS[KILOS ENTREGA])</f>
        <v>0</v>
      </c>
      <c r="J17" s="72"/>
    </row>
    <row r="18" spans="1:10" ht="18.75" x14ac:dyDescent="0.3">
      <c r="A18" s="75">
        <v>1737</v>
      </c>
      <c r="B18" s="75">
        <v>223.9</v>
      </c>
      <c r="C18" s="86">
        <v>46038</v>
      </c>
      <c r="D18" s="80">
        <v>223.9</v>
      </c>
      <c r="E18" s="67" t="s">
        <v>91</v>
      </c>
      <c r="F18" s="72">
        <f t="shared" si="0"/>
        <v>0</v>
      </c>
      <c r="G18" s="70">
        <v>46044</v>
      </c>
      <c r="H18" s="77">
        <f>SUMIF(FARDOS[FECHA ENTREGA],Tabla3[[#This Row],[FECHA]],FARDOS[KILOS ENTREGA])</f>
        <v>0</v>
      </c>
    </row>
    <row r="19" spans="1:10" ht="18.75" x14ac:dyDescent="0.3">
      <c r="A19" s="75">
        <v>1738</v>
      </c>
      <c r="B19" s="75">
        <v>225.1</v>
      </c>
      <c r="C19" s="86">
        <v>46036</v>
      </c>
      <c r="D19" s="80">
        <v>225.1</v>
      </c>
      <c r="E19" s="67" t="s">
        <v>91</v>
      </c>
      <c r="F19" s="72">
        <f t="shared" si="0"/>
        <v>0</v>
      </c>
      <c r="G19" s="70">
        <v>46045</v>
      </c>
      <c r="H19" s="77">
        <f>SUMIF(FARDOS[FECHA ENTREGA],Tabla3[[#This Row],[FECHA]],FARDOS[KILOS ENTREGA])</f>
        <v>0</v>
      </c>
    </row>
    <row r="20" spans="1:10" ht="18.75" x14ac:dyDescent="0.3">
      <c r="A20" s="75">
        <v>1739</v>
      </c>
      <c r="B20" s="75">
        <v>224.6</v>
      </c>
      <c r="C20" s="86">
        <v>46036</v>
      </c>
      <c r="D20" s="80">
        <v>224.6</v>
      </c>
      <c r="E20" s="67" t="s">
        <v>91</v>
      </c>
      <c r="F20" s="72">
        <f t="shared" si="0"/>
        <v>0</v>
      </c>
      <c r="G20" s="70">
        <v>46046</v>
      </c>
      <c r="H20" s="77">
        <f>SUMIF(FARDOS[FECHA ENTREGA],Tabla3[[#This Row],[FECHA]],FARDOS[KILOS ENTREGA])</f>
        <v>0</v>
      </c>
    </row>
    <row r="21" spans="1:10" ht="18.75" x14ac:dyDescent="0.3">
      <c r="A21" s="75">
        <v>1740</v>
      </c>
      <c r="B21" s="75">
        <v>224.2</v>
      </c>
      <c r="C21" s="90">
        <v>46037</v>
      </c>
      <c r="D21" s="80">
        <v>224.2</v>
      </c>
      <c r="E21" s="67" t="s">
        <v>91</v>
      </c>
      <c r="F21" s="72">
        <f t="shared" si="0"/>
        <v>0</v>
      </c>
      <c r="G21" s="70">
        <v>46047</v>
      </c>
      <c r="H21" s="77">
        <f>SUMIF(FARDOS[FECHA ENTREGA],Tabla3[[#This Row],[FECHA]],FARDOS[KILOS ENTREGA])</f>
        <v>0</v>
      </c>
    </row>
    <row r="22" spans="1:10" ht="18.75" x14ac:dyDescent="0.3">
      <c r="A22" s="75">
        <v>1741</v>
      </c>
      <c r="B22" s="75">
        <v>223.7</v>
      </c>
      <c r="C22" s="86">
        <v>46037</v>
      </c>
      <c r="D22" s="80">
        <v>223.7</v>
      </c>
      <c r="E22" s="67" t="s">
        <v>91</v>
      </c>
      <c r="F22" s="72">
        <f t="shared" si="0"/>
        <v>0</v>
      </c>
      <c r="G22" s="70">
        <v>46048</v>
      </c>
      <c r="H22" s="77">
        <f>SUMIF(FARDOS[FECHA ENTREGA],Tabla3[[#This Row],[FECHA]],FARDOS[KILOS ENTREGA])</f>
        <v>0</v>
      </c>
    </row>
    <row r="23" spans="1:10" ht="18.75" x14ac:dyDescent="0.3">
      <c r="A23" s="75">
        <v>1742</v>
      </c>
      <c r="B23" s="75">
        <v>225.9</v>
      </c>
      <c r="C23" s="86">
        <v>46040</v>
      </c>
      <c r="D23" s="80">
        <v>225.9</v>
      </c>
      <c r="E23" s="67" t="s">
        <v>91</v>
      </c>
      <c r="F23" s="72">
        <f t="shared" si="0"/>
        <v>0</v>
      </c>
      <c r="G23" s="70">
        <v>46049</v>
      </c>
      <c r="H23" s="77">
        <f>SUMIF(FARDOS[FECHA ENTREGA],Tabla3[[#This Row],[FECHA]],FARDOS[KILOS ENTREGA])</f>
        <v>0</v>
      </c>
    </row>
    <row r="24" spans="1:10" ht="18.75" x14ac:dyDescent="0.3">
      <c r="A24" s="75">
        <v>1743</v>
      </c>
      <c r="B24" s="75">
        <v>223.9</v>
      </c>
      <c r="C24" s="86">
        <v>46038</v>
      </c>
      <c r="D24" s="80">
        <v>223.9</v>
      </c>
      <c r="E24" s="67" t="s">
        <v>91</v>
      </c>
      <c r="F24" s="72">
        <f t="shared" si="0"/>
        <v>0</v>
      </c>
      <c r="G24" s="70">
        <v>46050</v>
      </c>
      <c r="H24" s="77">
        <f>SUMIF(FARDOS[FECHA ENTREGA],Tabla3[[#This Row],[FECHA]],FARDOS[KILOS ENTREGA])</f>
        <v>0</v>
      </c>
    </row>
    <row r="25" spans="1:10" ht="18.75" x14ac:dyDescent="0.3">
      <c r="A25" s="75">
        <v>1744</v>
      </c>
      <c r="B25" s="75">
        <v>224.9</v>
      </c>
      <c r="C25" s="91">
        <v>46040</v>
      </c>
      <c r="D25" s="80">
        <v>224.9</v>
      </c>
      <c r="E25" s="67" t="s">
        <v>91</v>
      </c>
      <c r="F25" s="72">
        <f t="shared" si="0"/>
        <v>0</v>
      </c>
      <c r="G25" s="70">
        <v>46051</v>
      </c>
      <c r="H25" s="77">
        <f>SUMIF(FARDOS[FECHA ENTREGA],Tabla3[[#This Row],[FECHA]],FARDOS[KILOS ENTREGA])</f>
        <v>0</v>
      </c>
    </row>
    <row r="26" spans="1:10" ht="18.75" x14ac:dyDescent="0.3">
      <c r="A26" s="75">
        <v>1745</v>
      </c>
      <c r="B26" s="75">
        <v>225.2</v>
      </c>
      <c r="C26" s="86">
        <v>46035</v>
      </c>
      <c r="D26" s="80">
        <v>225.2</v>
      </c>
      <c r="E26" s="67" t="s">
        <v>91</v>
      </c>
      <c r="F26" s="72">
        <f t="shared" si="0"/>
        <v>0</v>
      </c>
      <c r="G26" s="70">
        <v>46052</v>
      </c>
      <c r="H26" s="77">
        <f>SUMIF(FARDOS[FECHA ENTREGA],Tabla3[[#This Row],[FECHA]],FARDOS[KILOS ENTREGA])</f>
        <v>0</v>
      </c>
    </row>
    <row r="27" spans="1:10" ht="18.75" x14ac:dyDescent="0.3">
      <c r="A27" s="75">
        <v>1746</v>
      </c>
      <c r="B27" s="75">
        <v>225.2</v>
      </c>
      <c r="C27" s="88">
        <v>46040</v>
      </c>
      <c r="D27" s="80">
        <v>225.2</v>
      </c>
      <c r="E27" s="67" t="s">
        <v>91</v>
      </c>
      <c r="F27" s="72">
        <f t="shared" si="0"/>
        <v>0</v>
      </c>
      <c r="G27" s="70">
        <v>46053</v>
      </c>
      <c r="H27" s="77">
        <f>SUMIF(FARDOS[FECHA ENTREGA],Tabla3[[#This Row],[FECHA]],FARDOS[KILOS ENTREGA])</f>
        <v>0</v>
      </c>
    </row>
    <row r="28" spans="1:10" ht="18.75" x14ac:dyDescent="0.3">
      <c r="A28" s="75">
        <v>1747</v>
      </c>
      <c r="B28" s="75">
        <v>224.8</v>
      </c>
      <c r="C28" s="91">
        <v>46040</v>
      </c>
      <c r="D28" s="80">
        <v>224.8</v>
      </c>
      <c r="E28" s="67" t="s">
        <v>91</v>
      </c>
      <c r="F28" s="72">
        <f t="shared" si="0"/>
        <v>0</v>
      </c>
      <c r="G28" s="70">
        <v>46054</v>
      </c>
      <c r="H28" s="77">
        <f>SUMIF(FARDOS[FECHA ENTREGA],Tabla3[[#This Row],[FECHA]],FARDOS[KILOS ENTREGA])</f>
        <v>0</v>
      </c>
    </row>
    <row r="29" spans="1:10" ht="18.75" x14ac:dyDescent="0.3">
      <c r="A29" s="75">
        <v>1748</v>
      </c>
      <c r="B29" s="75">
        <v>223.8</v>
      </c>
      <c r="C29" s="91">
        <v>46040</v>
      </c>
      <c r="D29" s="80">
        <v>223.8</v>
      </c>
      <c r="E29" s="67" t="s">
        <v>91</v>
      </c>
      <c r="F29" s="72">
        <f t="shared" si="0"/>
        <v>0</v>
      </c>
      <c r="G29" s="70">
        <v>46055</v>
      </c>
      <c r="H29" s="77">
        <f>SUMIF(FARDOS[FECHA ENTREGA],Tabla3[[#This Row],[FECHA]],FARDOS[KILOS ENTREGA])</f>
        <v>0</v>
      </c>
    </row>
    <row r="30" spans="1:10" ht="18.75" x14ac:dyDescent="0.3">
      <c r="A30" s="75">
        <v>1749</v>
      </c>
      <c r="B30" s="75">
        <v>226.8</v>
      </c>
      <c r="C30" s="78">
        <v>46040</v>
      </c>
      <c r="D30" s="80">
        <v>226.8</v>
      </c>
      <c r="E30" s="67" t="s">
        <v>91</v>
      </c>
      <c r="F30" s="72">
        <f t="shared" si="0"/>
        <v>0</v>
      </c>
      <c r="G30" s="70">
        <v>46056</v>
      </c>
      <c r="H30" s="77">
        <f>SUMIF(FARDOS[FECHA ENTREGA],Tabla3[[#This Row],[FECHA]],FARDOS[KILOS ENTREGA])</f>
        <v>0</v>
      </c>
    </row>
    <row r="31" spans="1:10" ht="18.75" x14ac:dyDescent="0.3">
      <c r="A31" s="75">
        <v>1750</v>
      </c>
      <c r="B31" s="75">
        <v>224.6</v>
      </c>
      <c r="C31" s="92">
        <v>46035</v>
      </c>
      <c r="D31" s="80">
        <v>224.6</v>
      </c>
      <c r="E31" s="67" t="s">
        <v>91</v>
      </c>
      <c r="F31" s="72">
        <f t="shared" si="0"/>
        <v>0</v>
      </c>
      <c r="G31" s="70">
        <v>46057</v>
      </c>
      <c r="H31" s="77">
        <f>SUMIF(FARDOS[FECHA ENTREGA],Tabla3[[#This Row],[FECHA]],FARDOS[KILOS ENTREGA])</f>
        <v>0</v>
      </c>
    </row>
    <row r="32" spans="1:10" ht="18.75" x14ac:dyDescent="0.3">
      <c r="A32" s="75">
        <v>1751</v>
      </c>
      <c r="B32" s="75">
        <v>223.9</v>
      </c>
      <c r="C32" s="78">
        <v>46037</v>
      </c>
      <c r="D32" s="80">
        <v>223.9</v>
      </c>
      <c r="E32" s="67" t="s">
        <v>91</v>
      </c>
      <c r="F32" s="72">
        <f t="shared" si="0"/>
        <v>0</v>
      </c>
      <c r="G32" s="70">
        <v>46058</v>
      </c>
      <c r="H32" s="77">
        <f>SUMIF(FARDOS[FECHA ENTREGA],Tabla3[[#This Row],[FECHA]],FARDOS[KILOS ENTREGA])</f>
        <v>0</v>
      </c>
    </row>
    <row r="33" spans="1:8" ht="18.75" x14ac:dyDescent="0.3">
      <c r="A33" s="75">
        <v>1752</v>
      </c>
      <c r="B33" s="75">
        <v>225.9</v>
      </c>
      <c r="C33" s="87">
        <v>46037</v>
      </c>
      <c r="D33" s="80">
        <v>225.9</v>
      </c>
      <c r="E33" s="67" t="s">
        <v>91</v>
      </c>
      <c r="F33" s="72">
        <f t="shared" si="0"/>
        <v>0</v>
      </c>
      <c r="G33" s="70">
        <v>46059</v>
      </c>
      <c r="H33" s="77">
        <f>SUMIF(FARDOS[FECHA ENTREGA],Tabla3[[#This Row],[FECHA]],FARDOS[KILOS ENTREGA])</f>
        <v>0</v>
      </c>
    </row>
    <row r="34" spans="1:8" ht="15.75" x14ac:dyDescent="0.25">
      <c r="A34" s="75">
        <v>1753</v>
      </c>
      <c r="B34" s="75">
        <v>225</v>
      </c>
      <c r="C34" s="86">
        <v>46040</v>
      </c>
      <c r="D34" s="80">
        <v>225</v>
      </c>
      <c r="E34" s="67" t="s">
        <v>91</v>
      </c>
      <c r="F34" s="72">
        <f t="shared" si="0"/>
        <v>0</v>
      </c>
      <c r="G34" s="70">
        <v>46060</v>
      </c>
      <c r="H34" s="71">
        <f>SUMIF(FARDOS[FECHA ENTREGA],Tabla3[[#This Row],[FECHA]],FARDOS[KILOS ENTREGA])</f>
        <v>0</v>
      </c>
    </row>
    <row r="35" spans="1:8" ht="15.75" x14ac:dyDescent="0.25">
      <c r="A35" s="75">
        <v>1754</v>
      </c>
      <c r="B35" s="75">
        <v>223.3</v>
      </c>
      <c r="C35" s="93">
        <v>46038</v>
      </c>
      <c r="D35" s="80">
        <v>223.3</v>
      </c>
      <c r="E35" s="67" t="s">
        <v>91</v>
      </c>
      <c r="F35" s="72">
        <f t="shared" si="0"/>
        <v>0</v>
      </c>
      <c r="G35" s="70">
        <v>46061</v>
      </c>
      <c r="H35" s="71">
        <f>SUMIF(FARDOS[FECHA ENTREGA],Tabla3[[#This Row],[FECHA]],FARDOS[KILOS ENTREGA])</f>
        <v>0</v>
      </c>
    </row>
    <row r="36" spans="1:8" ht="15.75" x14ac:dyDescent="0.25">
      <c r="A36" s="75">
        <v>1755</v>
      </c>
      <c r="B36" s="75">
        <v>225.4</v>
      </c>
      <c r="C36" s="86">
        <v>46040</v>
      </c>
      <c r="D36" s="80">
        <v>225.4</v>
      </c>
      <c r="E36" s="67" t="s">
        <v>91</v>
      </c>
      <c r="F36" s="72">
        <f t="shared" si="0"/>
        <v>0</v>
      </c>
      <c r="G36" s="70">
        <v>46062</v>
      </c>
      <c r="H36" s="71">
        <f>SUMIF(FARDOS[FECHA ENTREGA],Tabla3[[#This Row],[FECHA]],FARDOS[KILOS ENTREGA])</f>
        <v>0</v>
      </c>
    </row>
    <row r="37" spans="1:8" ht="15.75" x14ac:dyDescent="0.25">
      <c r="A37" s="75">
        <v>1756</v>
      </c>
      <c r="B37" s="75">
        <v>223.7</v>
      </c>
      <c r="C37" s="86">
        <v>46038</v>
      </c>
      <c r="D37" s="80">
        <v>223.7</v>
      </c>
      <c r="E37" s="67" t="s">
        <v>91</v>
      </c>
      <c r="F37" s="72">
        <f t="shared" si="0"/>
        <v>0</v>
      </c>
      <c r="G37" s="95"/>
      <c r="H37" s="71">
        <f>SUMIF(FARDOS[FECHA ENTREGA],Tabla3[[#This Row],[FECHA]],FARDOS[KILOS ENTREGA])</f>
        <v>0</v>
      </c>
    </row>
    <row r="38" spans="1:8" ht="15.75" x14ac:dyDescent="0.25">
      <c r="A38" s="75">
        <v>1757</v>
      </c>
      <c r="B38" s="75">
        <v>224.9</v>
      </c>
      <c r="C38" s="86">
        <v>46038</v>
      </c>
      <c r="D38" s="80">
        <v>224.9</v>
      </c>
      <c r="E38" s="67" t="s">
        <v>91</v>
      </c>
      <c r="F38" s="72">
        <f t="shared" si="0"/>
        <v>0</v>
      </c>
      <c r="G38" s="95"/>
      <c r="H38" s="71">
        <f>SUMIF(FARDOS[FECHA ENTREGA],Tabla3[[#This Row],[FECHA]],FARDOS[KILOS ENTREGA])</f>
        <v>0</v>
      </c>
    </row>
    <row r="39" spans="1:8" ht="15.75" x14ac:dyDescent="0.25">
      <c r="A39" s="75">
        <v>1758</v>
      </c>
      <c r="B39" s="75">
        <v>225.3</v>
      </c>
      <c r="C39" s="86">
        <v>46038</v>
      </c>
      <c r="D39" s="80">
        <v>225.3</v>
      </c>
      <c r="E39" s="67" t="s">
        <v>91</v>
      </c>
      <c r="F39" s="72">
        <f t="shared" si="0"/>
        <v>0</v>
      </c>
      <c r="G39" s="95"/>
      <c r="H39" s="71">
        <f>SUMIF(FARDOS[FECHA ENTREGA],Tabla3[[#This Row],[FECHA]],FARDOS[KILOS ENTREGA])</f>
        <v>0</v>
      </c>
    </row>
    <row r="40" spans="1:8" ht="15.75" x14ac:dyDescent="0.25">
      <c r="A40" s="75">
        <v>1759</v>
      </c>
      <c r="B40" s="75">
        <v>225.7</v>
      </c>
      <c r="C40" s="86">
        <v>46035</v>
      </c>
      <c r="D40" s="80">
        <v>225.7</v>
      </c>
      <c r="E40" s="67" t="s">
        <v>91</v>
      </c>
      <c r="F40" s="72">
        <f t="shared" ref="F40:F95" si="1">B40-D40</f>
        <v>0</v>
      </c>
      <c r="G40" s="95"/>
      <c r="H40" s="71">
        <f>SUMIF(FARDOS[FECHA ENTREGA],Tabla3[[#This Row],[FECHA]],FARDOS[KILOS ENTREGA])</f>
        <v>0</v>
      </c>
    </row>
    <row r="41" spans="1:8" ht="15.75" x14ac:dyDescent="0.25">
      <c r="A41" s="75">
        <v>1760</v>
      </c>
      <c r="B41" s="75">
        <v>225.3</v>
      </c>
      <c r="C41" s="91">
        <v>46036</v>
      </c>
      <c r="D41" s="80">
        <v>225.3</v>
      </c>
      <c r="E41" s="67" t="s">
        <v>91</v>
      </c>
      <c r="F41" s="72">
        <f t="shared" si="1"/>
        <v>0</v>
      </c>
      <c r="G41" s="95"/>
      <c r="H41" s="71">
        <f>SUMIF(FARDOS[FECHA ENTREGA],Tabla3[[#This Row],[FECHA]],FARDOS[KILOS ENTREGA])</f>
        <v>0</v>
      </c>
    </row>
    <row r="42" spans="1:8" ht="15.75" x14ac:dyDescent="0.25">
      <c r="A42" s="75">
        <v>1761</v>
      </c>
      <c r="B42" s="75">
        <v>225.6</v>
      </c>
      <c r="C42" s="86">
        <v>46038</v>
      </c>
      <c r="D42" s="80">
        <v>225.6</v>
      </c>
      <c r="E42" s="67" t="s">
        <v>91</v>
      </c>
      <c r="F42" s="72">
        <f t="shared" si="1"/>
        <v>0</v>
      </c>
      <c r="G42" s="95"/>
      <c r="H42" s="71">
        <f>SUMIF(FARDOS[FECHA ENTREGA],Tabla3[[#This Row],[FECHA]],FARDOS[KILOS ENTREGA])</f>
        <v>0</v>
      </c>
    </row>
    <row r="43" spans="1:8" ht="15.75" x14ac:dyDescent="0.25">
      <c r="A43" s="75">
        <v>1762</v>
      </c>
      <c r="B43" s="75">
        <v>226</v>
      </c>
      <c r="C43" s="78">
        <v>46040</v>
      </c>
      <c r="D43" s="80">
        <v>226</v>
      </c>
      <c r="E43" s="67" t="s">
        <v>91</v>
      </c>
      <c r="F43" s="72">
        <f t="shared" si="1"/>
        <v>0</v>
      </c>
    </row>
    <row r="44" spans="1:8" ht="15.75" x14ac:dyDescent="0.25">
      <c r="A44" s="75">
        <v>1763</v>
      </c>
      <c r="B44" s="75">
        <v>224.1</v>
      </c>
      <c r="C44" s="78">
        <v>46040</v>
      </c>
      <c r="D44" s="80">
        <v>224.1</v>
      </c>
      <c r="E44" s="67" t="s">
        <v>91</v>
      </c>
      <c r="F44" s="72">
        <f t="shared" si="1"/>
        <v>0</v>
      </c>
    </row>
    <row r="45" spans="1:8" ht="15.75" x14ac:dyDescent="0.25">
      <c r="A45" s="75">
        <v>1764</v>
      </c>
      <c r="B45" s="75">
        <v>225.4</v>
      </c>
      <c r="C45" s="94">
        <v>46038</v>
      </c>
      <c r="D45" s="80">
        <v>225.4</v>
      </c>
      <c r="E45" s="67" t="s">
        <v>91</v>
      </c>
      <c r="F45" s="72">
        <f t="shared" ref="F45:F50" si="2">B45-D45</f>
        <v>0</v>
      </c>
    </row>
    <row r="46" spans="1:8" ht="15.75" x14ac:dyDescent="0.25">
      <c r="A46" s="75">
        <v>1765</v>
      </c>
      <c r="B46" s="75">
        <v>225.4</v>
      </c>
      <c r="C46" s="94">
        <v>46038</v>
      </c>
      <c r="D46" s="80">
        <v>225.4</v>
      </c>
      <c r="E46" s="67" t="s">
        <v>91</v>
      </c>
      <c r="F46" s="72">
        <f t="shared" si="2"/>
        <v>0</v>
      </c>
    </row>
    <row r="47" spans="1:8" ht="15.75" x14ac:dyDescent="0.25">
      <c r="A47" s="75">
        <v>1766</v>
      </c>
      <c r="B47" s="75">
        <v>225.8</v>
      </c>
      <c r="C47" s="94">
        <v>46039</v>
      </c>
      <c r="D47" s="80">
        <v>225.8</v>
      </c>
      <c r="E47" s="67" t="s">
        <v>91</v>
      </c>
      <c r="F47" s="72">
        <f t="shared" si="2"/>
        <v>0</v>
      </c>
    </row>
    <row r="48" spans="1:8" ht="15.75" x14ac:dyDescent="0.25">
      <c r="A48" s="75">
        <v>1767</v>
      </c>
      <c r="B48" s="75">
        <v>224.9</v>
      </c>
      <c r="C48" s="94">
        <v>46038</v>
      </c>
      <c r="D48" s="80">
        <v>224.9</v>
      </c>
      <c r="E48" s="67" t="s">
        <v>91</v>
      </c>
      <c r="F48" s="72">
        <f t="shared" si="2"/>
        <v>0</v>
      </c>
    </row>
    <row r="49" spans="1:6" ht="15.75" x14ac:dyDescent="0.25">
      <c r="A49" s="75">
        <v>1768</v>
      </c>
      <c r="B49" s="75">
        <v>225.3</v>
      </c>
      <c r="C49" s="94">
        <v>46038</v>
      </c>
      <c r="D49" s="80">
        <v>225.3</v>
      </c>
      <c r="E49" s="67" t="s">
        <v>91</v>
      </c>
      <c r="F49" s="72">
        <f t="shared" si="2"/>
        <v>0</v>
      </c>
    </row>
    <row r="50" spans="1:6" ht="15.75" x14ac:dyDescent="0.25">
      <c r="A50" s="75">
        <v>1769</v>
      </c>
      <c r="B50" s="75">
        <v>226.1</v>
      </c>
      <c r="C50" s="94">
        <v>46038</v>
      </c>
      <c r="D50" s="80">
        <v>226.1</v>
      </c>
      <c r="E50" s="67" t="s">
        <v>91</v>
      </c>
      <c r="F50" s="72">
        <f t="shared" si="2"/>
        <v>0</v>
      </c>
    </row>
    <row r="51" spans="1:6" ht="15.75" x14ac:dyDescent="0.25">
      <c r="A51" s="75">
        <v>1770</v>
      </c>
      <c r="B51" s="75">
        <v>224.5</v>
      </c>
      <c r="C51" s="94">
        <v>46035</v>
      </c>
      <c r="D51" s="80">
        <v>224.5</v>
      </c>
      <c r="E51" s="67" t="s">
        <v>91</v>
      </c>
      <c r="F51" s="72">
        <f t="shared" si="1"/>
        <v>0</v>
      </c>
    </row>
    <row r="52" spans="1:6" ht="15.75" x14ac:dyDescent="0.25">
      <c r="A52" s="75">
        <v>1771</v>
      </c>
      <c r="B52" s="75">
        <v>225.8</v>
      </c>
      <c r="C52" s="94">
        <v>46035</v>
      </c>
      <c r="D52" s="80">
        <v>225.8</v>
      </c>
      <c r="E52" s="67" t="s">
        <v>91</v>
      </c>
      <c r="F52" s="72">
        <f t="shared" si="1"/>
        <v>0</v>
      </c>
    </row>
    <row r="53" spans="1:6" ht="15.75" x14ac:dyDescent="0.25">
      <c r="A53" s="75">
        <v>1772</v>
      </c>
      <c r="B53" s="75">
        <v>225.8</v>
      </c>
      <c r="C53" s="94">
        <v>46035</v>
      </c>
      <c r="D53" s="80">
        <v>225.8</v>
      </c>
      <c r="E53" s="67" t="s">
        <v>91</v>
      </c>
      <c r="F53" s="72">
        <f t="shared" si="1"/>
        <v>0</v>
      </c>
    </row>
    <row r="54" spans="1:6" ht="15.75" x14ac:dyDescent="0.25">
      <c r="A54" s="75">
        <v>1773</v>
      </c>
      <c r="B54" s="75">
        <v>225.8</v>
      </c>
      <c r="C54" s="94">
        <v>46035</v>
      </c>
      <c r="D54" s="80">
        <v>225.8</v>
      </c>
      <c r="E54" s="67" t="s">
        <v>91</v>
      </c>
      <c r="F54" s="72">
        <f t="shared" ref="F54:F60" si="3">B54-D54</f>
        <v>0</v>
      </c>
    </row>
    <row r="55" spans="1:6" ht="15.75" x14ac:dyDescent="0.25">
      <c r="A55" s="75">
        <v>1774</v>
      </c>
      <c r="B55" s="75">
        <v>225.9</v>
      </c>
      <c r="C55" s="94">
        <v>46039</v>
      </c>
      <c r="D55" s="80">
        <v>225.9</v>
      </c>
      <c r="E55" s="67" t="s">
        <v>91</v>
      </c>
      <c r="F55" s="72">
        <f t="shared" si="3"/>
        <v>0</v>
      </c>
    </row>
    <row r="56" spans="1:6" ht="15.75" x14ac:dyDescent="0.25">
      <c r="A56" s="75">
        <v>1775</v>
      </c>
      <c r="B56" s="75">
        <v>225.9</v>
      </c>
      <c r="C56" s="94">
        <v>46038</v>
      </c>
      <c r="D56" s="80">
        <v>225.9</v>
      </c>
      <c r="E56" s="67" t="s">
        <v>91</v>
      </c>
      <c r="F56" s="72">
        <f t="shared" si="3"/>
        <v>0</v>
      </c>
    </row>
    <row r="57" spans="1:6" ht="15.75" x14ac:dyDescent="0.25">
      <c r="A57" s="75">
        <v>1776</v>
      </c>
      <c r="B57" s="75">
        <v>225.7</v>
      </c>
      <c r="C57" s="94">
        <v>46038</v>
      </c>
      <c r="D57" s="80">
        <v>225.7</v>
      </c>
      <c r="E57" s="67" t="s">
        <v>91</v>
      </c>
      <c r="F57" s="72">
        <f t="shared" si="3"/>
        <v>0</v>
      </c>
    </row>
    <row r="58" spans="1:6" ht="15.75" x14ac:dyDescent="0.25">
      <c r="A58" s="75">
        <v>1777</v>
      </c>
      <c r="B58" s="75">
        <v>226</v>
      </c>
      <c r="C58" s="94">
        <v>46038</v>
      </c>
      <c r="D58" s="80">
        <v>226</v>
      </c>
      <c r="E58" s="67" t="s">
        <v>91</v>
      </c>
      <c r="F58" s="72">
        <f t="shared" si="3"/>
        <v>0</v>
      </c>
    </row>
    <row r="59" spans="1:6" ht="15.75" x14ac:dyDescent="0.25">
      <c r="A59" s="75">
        <v>1778</v>
      </c>
      <c r="B59" s="75">
        <v>225.8</v>
      </c>
      <c r="C59" s="94">
        <v>46038</v>
      </c>
      <c r="D59" s="80">
        <v>225.8</v>
      </c>
      <c r="E59" s="67" t="s">
        <v>91</v>
      </c>
      <c r="F59" s="72">
        <f t="shared" si="3"/>
        <v>0</v>
      </c>
    </row>
    <row r="60" spans="1:6" ht="15.75" x14ac:dyDescent="0.25">
      <c r="A60" s="75">
        <v>1779</v>
      </c>
      <c r="B60" s="75">
        <v>225.7</v>
      </c>
      <c r="C60" s="94">
        <v>46037</v>
      </c>
      <c r="D60" s="80">
        <v>225.7</v>
      </c>
      <c r="E60" s="67" t="s">
        <v>91</v>
      </c>
      <c r="F60" s="72">
        <f t="shared" si="3"/>
        <v>0</v>
      </c>
    </row>
    <row r="61" spans="1:6" ht="15.75" x14ac:dyDescent="0.25">
      <c r="A61" s="75">
        <v>1780</v>
      </c>
      <c r="B61" s="75">
        <v>226</v>
      </c>
      <c r="C61" s="94">
        <v>46037</v>
      </c>
      <c r="D61" s="80">
        <v>226</v>
      </c>
      <c r="E61" s="67" t="s">
        <v>91</v>
      </c>
      <c r="F61" s="72">
        <f t="shared" ref="F61:F81" si="4">B61-D61</f>
        <v>0</v>
      </c>
    </row>
    <row r="62" spans="1:6" ht="15.75" x14ac:dyDescent="0.25">
      <c r="A62" s="75">
        <v>1781</v>
      </c>
      <c r="B62" s="75">
        <v>225.9</v>
      </c>
      <c r="C62" s="94">
        <v>46037</v>
      </c>
      <c r="D62" s="80">
        <v>225.9</v>
      </c>
      <c r="E62" s="67" t="s">
        <v>91</v>
      </c>
      <c r="F62" s="72">
        <f t="shared" si="4"/>
        <v>0</v>
      </c>
    </row>
    <row r="63" spans="1:6" ht="15.75" x14ac:dyDescent="0.25">
      <c r="A63" s="75">
        <v>1782</v>
      </c>
      <c r="B63" s="75">
        <v>225.8</v>
      </c>
      <c r="C63" s="94">
        <v>46040</v>
      </c>
      <c r="D63" s="80">
        <v>225.8</v>
      </c>
      <c r="E63" s="67" t="s">
        <v>91</v>
      </c>
      <c r="F63" s="72">
        <f t="shared" ref="F63:F80" si="5">B63-D63</f>
        <v>0</v>
      </c>
    </row>
    <row r="64" spans="1:6" ht="15.75" x14ac:dyDescent="0.25">
      <c r="A64" s="75">
        <v>1783</v>
      </c>
      <c r="B64" s="75">
        <v>223</v>
      </c>
      <c r="C64" s="94">
        <v>46039</v>
      </c>
      <c r="D64" s="80">
        <v>223</v>
      </c>
      <c r="E64" s="67" t="s">
        <v>91</v>
      </c>
      <c r="F64" s="72">
        <f t="shared" si="5"/>
        <v>0</v>
      </c>
    </row>
    <row r="65" spans="1:6" ht="15.75" x14ac:dyDescent="0.25">
      <c r="A65" s="75">
        <v>1784</v>
      </c>
      <c r="B65" s="75">
        <v>226.9</v>
      </c>
      <c r="C65" s="94">
        <v>46039</v>
      </c>
      <c r="D65" s="80">
        <v>226.9</v>
      </c>
      <c r="E65" s="67" t="s">
        <v>91</v>
      </c>
      <c r="F65" s="72">
        <f t="shared" ref="F65:F75" si="6">B65-D65</f>
        <v>0</v>
      </c>
    </row>
    <row r="66" spans="1:6" ht="15.75" x14ac:dyDescent="0.25">
      <c r="A66" s="75">
        <v>1785</v>
      </c>
      <c r="B66" s="75">
        <v>225.5</v>
      </c>
      <c r="C66" s="94">
        <v>46039</v>
      </c>
      <c r="D66" s="80">
        <v>225.5</v>
      </c>
      <c r="E66" s="67" t="s">
        <v>91</v>
      </c>
      <c r="F66" s="72">
        <f t="shared" si="6"/>
        <v>0</v>
      </c>
    </row>
    <row r="67" spans="1:6" ht="15.75" x14ac:dyDescent="0.25">
      <c r="A67" s="75">
        <v>1786</v>
      </c>
      <c r="B67" s="75">
        <v>226.8</v>
      </c>
      <c r="C67" s="94">
        <v>46035</v>
      </c>
      <c r="D67" s="80">
        <v>226.8</v>
      </c>
      <c r="E67" s="67" t="s">
        <v>91</v>
      </c>
      <c r="F67" s="72">
        <f t="shared" si="6"/>
        <v>0</v>
      </c>
    </row>
    <row r="68" spans="1:6" ht="15.75" x14ac:dyDescent="0.25">
      <c r="A68" s="75">
        <v>1787</v>
      </c>
      <c r="B68" s="75">
        <v>225.5</v>
      </c>
      <c r="C68" s="94">
        <v>46035</v>
      </c>
      <c r="D68" s="80">
        <v>225.5</v>
      </c>
      <c r="E68" s="67" t="s">
        <v>91</v>
      </c>
      <c r="F68" s="72">
        <f t="shared" si="6"/>
        <v>0</v>
      </c>
    </row>
    <row r="69" spans="1:6" ht="15.75" x14ac:dyDescent="0.25">
      <c r="A69" s="75">
        <v>1788</v>
      </c>
      <c r="B69" s="75">
        <v>226.9</v>
      </c>
      <c r="C69" s="94">
        <v>46035</v>
      </c>
      <c r="D69" s="80">
        <v>226.9</v>
      </c>
      <c r="E69" s="67" t="s">
        <v>91</v>
      </c>
      <c r="F69" s="72">
        <f t="shared" si="6"/>
        <v>0</v>
      </c>
    </row>
    <row r="70" spans="1:6" ht="15.75" x14ac:dyDescent="0.25">
      <c r="A70" s="75">
        <v>1790</v>
      </c>
      <c r="B70" s="75">
        <v>226.7</v>
      </c>
      <c r="C70" s="94">
        <v>46037</v>
      </c>
      <c r="D70" s="80">
        <v>226.7</v>
      </c>
      <c r="E70" s="67" t="s">
        <v>91</v>
      </c>
      <c r="F70" s="72">
        <f t="shared" si="6"/>
        <v>0</v>
      </c>
    </row>
    <row r="71" spans="1:6" ht="15.75" x14ac:dyDescent="0.25">
      <c r="A71" s="75">
        <v>1791</v>
      </c>
      <c r="B71" s="75">
        <v>225</v>
      </c>
      <c r="C71" s="94">
        <v>46037</v>
      </c>
      <c r="D71" s="80">
        <v>225</v>
      </c>
      <c r="E71" s="67" t="s">
        <v>91</v>
      </c>
      <c r="F71" s="72">
        <f t="shared" si="6"/>
        <v>0</v>
      </c>
    </row>
    <row r="72" spans="1:6" ht="15.75" x14ac:dyDescent="0.25">
      <c r="A72" s="75">
        <v>1792</v>
      </c>
      <c r="B72" s="75">
        <v>227</v>
      </c>
      <c r="C72" s="94">
        <v>46040</v>
      </c>
      <c r="D72" s="80">
        <v>227</v>
      </c>
      <c r="E72" s="67" t="s">
        <v>91</v>
      </c>
      <c r="F72" s="72">
        <f t="shared" si="6"/>
        <v>0</v>
      </c>
    </row>
    <row r="73" spans="1:6" ht="15.75" x14ac:dyDescent="0.25">
      <c r="A73" s="75">
        <v>1793</v>
      </c>
      <c r="B73" s="75">
        <v>226.5</v>
      </c>
      <c r="C73" s="94">
        <v>46040</v>
      </c>
      <c r="D73" s="80">
        <v>226.5</v>
      </c>
      <c r="E73" s="67" t="s">
        <v>91</v>
      </c>
      <c r="F73" s="72">
        <f t="shared" si="6"/>
        <v>0</v>
      </c>
    </row>
    <row r="74" spans="1:6" ht="15.75" x14ac:dyDescent="0.25">
      <c r="A74" s="75">
        <v>1794</v>
      </c>
      <c r="B74" s="75">
        <v>225.5</v>
      </c>
      <c r="C74" s="94">
        <v>46040</v>
      </c>
      <c r="D74" s="80">
        <v>225.5</v>
      </c>
      <c r="E74" s="67" t="s">
        <v>91</v>
      </c>
      <c r="F74" s="72">
        <f t="shared" si="6"/>
        <v>0</v>
      </c>
    </row>
    <row r="75" spans="1:6" ht="15.75" x14ac:dyDescent="0.25">
      <c r="A75" s="75">
        <v>1795</v>
      </c>
      <c r="B75" s="75">
        <v>223.3</v>
      </c>
      <c r="C75" s="94">
        <v>46038</v>
      </c>
      <c r="D75" s="80">
        <v>223.3</v>
      </c>
      <c r="E75" s="67" t="s">
        <v>91</v>
      </c>
      <c r="F75" s="72">
        <f t="shared" si="6"/>
        <v>0</v>
      </c>
    </row>
    <row r="76" spans="1:6" ht="15.75" x14ac:dyDescent="0.25">
      <c r="A76" s="75">
        <v>1796</v>
      </c>
      <c r="B76" s="75">
        <v>226.1</v>
      </c>
      <c r="C76" s="94">
        <v>46038</v>
      </c>
      <c r="D76" s="80">
        <v>226.1</v>
      </c>
      <c r="E76" s="67" t="s">
        <v>91</v>
      </c>
      <c r="F76" s="72">
        <f t="shared" si="5"/>
        <v>0</v>
      </c>
    </row>
    <row r="77" spans="1:6" ht="15.75" x14ac:dyDescent="0.25">
      <c r="A77" s="75">
        <v>1797</v>
      </c>
      <c r="B77" s="75">
        <v>223</v>
      </c>
      <c r="C77" s="94">
        <v>46038</v>
      </c>
      <c r="D77" s="80">
        <v>223</v>
      </c>
      <c r="E77" s="67" t="s">
        <v>91</v>
      </c>
      <c r="F77" s="72">
        <f t="shared" si="5"/>
        <v>0</v>
      </c>
    </row>
    <row r="78" spans="1:6" ht="15.75" x14ac:dyDescent="0.25">
      <c r="A78" s="75">
        <v>1798</v>
      </c>
      <c r="B78" s="75">
        <v>223.6</v>
      </c>
      <c r="C78" s="94">
        <v>46039</v>
      </c>
      <c r="D78" s="80">
        <v>223.6</v>
      </c>
      <c r="E78" s="67" t="s">
        <v>91</v>
      </c>
      <c r="F78" s="72">
        <f t="shared" si="5"/>
        <v>0</v>
      </c>
    </row>
    <row r="79" spans="1:6" ht="15.75" x14ac:dyDescent="0.25">
      <c r="A79" s="75">
        <v>1799</v>
      </c>
      <c r="B79" s="75">
        <v>222.7</v>
      </c>
      <c r="C79" s="94">
        <v>46037</v>
      </c>
      <c r="D79" s="80">
        <v>222.7</v>
      </c>
      <c r="E79" s="67" t="s">
        <v>91</v>
      </c>
      <c r="F79" s="72">
        <f t="shared" si="5"/>
        <v>0</v>
      </c>
    </row>
    <row r="80" spans="1:6" ht="15.75" x14ac:dyDescent="0.25">
      <c r="A80" s="75">
        <v>1800</v>
      </c>
      <c r="B80" s="75">
        <v>221.2</v>
      </c>
      <c r="C80" s="94">
        <v>46037</v>
      </c>
      <c r="D80" s="80">
        <v>221.2</v>
      </c>
      <c r="E80" s="67" t="s">
        <v>91</v>
      </c>
      <c r="F80" s="72">
        <f t="shared" si="5"/>
        <v>0</v>
      </c>
    </row>
    <row r="81" spans="1:6" ht="15.75" x14ac:dyDescent="0.25">
      <c r="A81" s="75">
        <v>1801</v>
      </c>
      <c r="B81" s="75">
        <v>222.2</v>
      </c>
      <c r="C81" s="94">
        <v>46037</v>
      </c>
      <c r="D81" s="80">
        <v>222.2</v>
      </c>
      <c r="E81" s="67" t="s">
        <v>91</v>
      </c>
      <c r="F81" s="72">
        <f t="shared" si="4"/>
        <v>0</v>
      </c>
    </row>
    <row r="82" spans="1:6" ht="15.75" x14ac:dyDescent="0.25">
      <c r="A82" s="75">
        <v>1802</v>
      </c>
      <c r="B82" s="75">
        <v>221</v>
      </c>
      <c r="C82" s="94">
        <v>46040</v>
      </c>
      <c r="D82" s="80">
        <v>221</v>
      </c>
      <c r="E82" s="67" t="s">
        <v>91</v>
      </c>
      <c r="F82" s="72">
        <f t="shared" ref="F82:F84" si="7">B82-D82</f>
        <v>0</v>
      </c>
    </row>
    <row r="83" spans="1:6" ht="15.75" x14ac:dyDescent="0.25">
      <c r="A83" s="75">
        <v>1803</v>
      </c>
      <c r="B83" s="75">
        <v>220</v>
      </c>
      <c r="C83" s="94">
        <v>46040</v>
      </c>
      <c r="D83" s="80">
        <v>220</v>
      </c>
      <c r="E83" s="67" t="s">
        <v>91</v>
      </c>
      <c r="F83" s="72">
        <f t="shared" si="7"/>
        <v>0</v>
      </c>
    </row>
    <row r="84" spans="1:6" ht="15.75" x14ac:dyDescent="0.25">
      <c r="A84" s="75">
        <v>1804</v>
      </c>
      <c r="B84" s="75">
        <v>219.9</v>
      </c>
      <c r="C84" s="94">
        <v>46040</v>
      </c>
      <c r="D84" s="80">
        <v>219.9</v>
      </c>
      <c r="E84" s="67" t="s">
        <v>91</v>
      </c>
      <c r="F84" s="72">
        <f t="shared" si="7"/>
        <v>0</v>
      </c>
    </row>
    <row r="85" spans="1:6" ht="15.75" x14ac:dyDescent="0.25">
      <c r="A85" s="75">
        <v>1870</v>
      </c>
      <c r="B85" s="75">
        <v>223.8</v>
      </c>
      <c r="C85" s="78">
        <v>46038</v>
      </c>
      <c r="D85" s="80">
        <v>223.8</v>
      </c>
      <c r="E85" s="67" t="s">
        <v>91</v>
      </c>
      <c r="F85" s="72">
        <f t="shared" si="1"/>
        <v>0</v>
      </c>
    </row>
    <row r="86" spans="1:6" ht="15.75" x14ac:dyDescent="0.25">
      <c r="A86" s="75">
        <v>2018</v>
      </c>
      <c r="B86" s="75">
        <v>223.8</v>
      </c>
      <c r="C86" s="78">
        <v>46036</v>
      </c>
      <c r="D86" s="80">
        <v>223.8</v>
      </c>
      <c r="E86" s="67" t="s">
        <v>91</v>
      </c>
      <c r="F86" s="72">
        <f t="shared" si="1"/>
        <v>0</v>
      </c>
    </row>
    <row r="87" spans="1:6" ht="15.75" x14ac:dyDescent="0.25">
      <c r="A87" s="75">
        <v>2019</v>
      </c>
      <c r="B87" s="75">
        <v>224.7</v>
      </c>
      <c r="C87" s="78">
        <v>46036</v>
      </c>
      <c r="D87" s="80">
        <v>224.7</v>
      </c>
      <c r="E87" s="67" t="s">
        <v>91</v>
      </c>
      <c r="F87" s="72">
        <f t="shared" si="1"/>
        <v>0</v>
      </c>
    </row>
    <row r="88" spans="1:6" ht="15.75" x14ac:dyDescent="0.25">
      <c r="A88" s="75">
        <v>2020</v>
      </c>
      <c r="B88" s="75">
        <v>221.6</v>
      </c>
      <c r="C88" s="78">
        <v>46036</v>
      </c>
      <c r="D88" s="80">
        <v>221.6</v>
      </c>
      <c r="E88" s="67" t="s">
        <v>91</v>
      </c>
      <c r="F88" s="72">
        <f t="shared" si="1"/>
        <v>0</v>
      </c>
    </row>
    <row r="89" spans="1:6" ht="15.75" x14ac:dyDescent="0.25">
      <c r="A89" s="75">
        <v>2021</v>
      </c>
      <c r="B89" s="75">
        <v>224.8</v>
      </c>
      <c r="C89" s="78">
        <v>46036</v>
      </c>
      <c r="D89" s="80">
        <v>224.8</v>
      </c>
      <c r="E89" s="67" t="s">
        <v>91</v>
      </c>
      <c r="F89" s="72">
        <f t="shared" si="1"/>
        <v>0</v>
      </c>
    </row>
    <row r="90" spans="1:6" ht="15.75" x14ac:dyDescent="0.25">
      <c r="A90" s="75">
        <v>2022</v>
      </c>
      <c r="B90" s="75">
        <v>221.3</v>
      </c>
      <c r="C90" s="94">
        <v>46036</v>
      </c>
      <c r="D90" s="80">
        <v>221.3</v>
      </c>
      <c r="E90" s="67" t="s">
        <v>91</v>
      </c>
      <c r="F90" s="72">
        <f>B90-D90</f>
        <v>0</v>
      </c>
    </row>
    <row r="91" spans="1:6" ht="15.75" x14ac:dyDescent="0.25">
      <c r="A91" s="75">
        <v>2023</v>
      </c>
      <c r="B91" s="75">
        <v>225.1</v>
      </c>
      <c r="C91" s="78">
        <v>46036</v>
      </c>
      <c r="D91" s="80">
        <v>225.1</v>
      </c>
      <c r="E91" s="67" t="s">
        <v>91</v>
      </c>
      <c r="F91" s="72">
        <f t="shared" si="1"/>
        <v>0</v>
      </c>
    </row>
    <row r="92" spans="1:6" ht="15.75" x14ac:dyDescent="0.25">
      <c r="A92" s="75">
        <v>2024</v>
      </c>
      <c r="B92" s="75">
        <v>221.2</v>
      </c>
      <c r="C92" s="78">
        <v>46037</v>
      </c>
      <c r="D92" s="80">
        <v>221.2</v>
      </c>
      <c r="E92" s="67" t="s">
        <v>91</v>
      </c>
      <c r="F92" s="72">
        <f t="shared" si="1"/>
        <v>0</v>
      </c>
    </row>
    <row r="93" spans="1:6" ht="15.75" x14ac:dyDescent="0.25">
      <c r="A93" s="96">
        <v>2025</v>
      </c>
      <c r="B93" s="75">
        <v>224.8</v>
      </c>
      <c r="C93" s="76">
        <v>46037</v>
      </c>
      <c r="D93" s="80">
        <v>224.8</v>
      </c>
      <c r="E93" s="67" t="s">
        <v>91</v>
      </c>
      <c r="F93" s="72">
        <f t="shared" si="1"/>
        <v>0</v>
      </c>
    </row>
    <row r="94" spans="1:6" ht="15.75" x14ac:dyDescent="0.25">
      <c r="A94" s="75"/>
      <c r="B94" s="75"/>
      <c r="C94" s="76"/>
      <c r="D94" s="80"/>
      <c r="E94" s="67"/>
      <c r="F94" s="72">
        <f t="shared" si="1"/>
        <v>0</v>
      </c>
    </row>
    <row r="95" spans="1:6" ht="15.75" x14ac:dyDescent="0.25">
      <c r="A95" s="75"/>
      <c r="B95" s="75"/>
      <c r="C95" s="76"/>
      <c r="D95" s="80"/>
      <c r="E95" s="67"/>
      <c r="F95" s="72">
        <f t="shared" si="1"/>
        <v>0</v>
      </c>
    </row>
    <row r="96" spans="1:6" ht="21" x14ac:dyDescent="0.3">
      <c r="B96" s="74">
        <f>SUBTOTAL(109,FARDOS[P. NETO KG.])</f>
        <v>19310.19999999999</v>
      </c>
      <c r="C96" s="58"/>
      <c r="D96" s="63">
        <f>SUM(FARDOS[KILOS ENTREGA])</f>
        <v>19310.19999999999</v>
      </c>
    </row>
    <row r="98" spans="3:3" x14ac:dyDescent="0.25">
      <c r="C98" s="62">
        <f>B96-D96</f>
        <v>0</v>
      </c>
    </row>
    <row r="126" spans="8:8" x14ac:dyDescent="0.25">
      <c r="H126">
        <f>SUM(H37:H125)</f>
        <v>0</v>
      </c>
    </row>
  </sheetData>
  <mergeCells count="1">
    <mergeCell ref="A1:H1"/>
  </mergeCells>
  <phoneticPr fontId="24" type="noConversion"/>
  <conditionalFormatting sqref="C43:C92">
    <cfRule type="expression" dxfId="13" priority="3">
      <formula>$E43="ENTREGADO"</formula>
    </cfRule>
  </conditionalFormatting>
  <conditionalFormatting sqref="D8:E9 B8:B95 C10:E10 D11:E24 D26:E92 C93:D94 E93:E95">
    <cfRule type="expression" dxfId="12" priority="15">
      <formula>$E8="ENTREGADO"</formula>
    </cfRule>
  </conditionalFormatting>
  <conditionalFormatting sqref="E25">
    <cfRule type="expression" dxfId="11" priority="17">
      <formula>#REF!="ENTREGADO"</formula>
    </cfRule>
  </conditionalFormatting>
  <pageMargins left="0.7" right="0.7" top="0.75" bottom="0.75" header="0.3" footer="0.3"/>
  <pageSetup scale="81" orientation="portrait" r:id="rId1"/>
  <rowBreaks count="1" manualBreakCount="1">
    <brk id="97" max="16383" man="1"/>
  </rowBreaks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D14E-FC8B-41B5-A287-F17665E3A6BB}">
  <dimension ref="A1"/>
  <sheetViews>
    <sheetView workbookViewId="0">
      <selection activeCell="B5" sqref="B5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VALORES</vt:lpstr>
      <vt:lpstr>PRODUCTO TERM</vt:lpstr>
      <vt:lpstr>DESPERDICIOS</vt:lpstr>
      <vt:lpstr>RESUMEN</vt:lpstr>
      <vt:lpstr>FARDOS</vt:lpstr>
      <vt:lpstr>Hoja1</vt:lpstr>
      <vt:lpstr>'FARDOS'!Área_de_impresión</vt:lpstr>
    </vt:vector>
  </TitlesOfParts>
  <Company>SERMATTEL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EINARD LOPEZ</dc:creator>
  <cp:lastModifiedBy>ALMACEN</cp:lastModifiedBy>
  <cp:lastPrinted>2026-01-15T00:13:43Z</cp:lastPrinted>
  <dcterms:created xsi:type="dcterms:W3CDTF">2014-02-19T15:44:13Z</dcterms:created>
  <dcterms:modified xsi:type="dcterms:W3CDTF">2026-06-17T18:00:42Z</dcterms:modified>
</cp:coreProperties>
</file>