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i unidad\ALMACEN DATOS 2026\GESTION 2026\ENTREGA DE FARDOS 2026\"/>
    </mc:Choice>
  </mc:AlternateContent>
  <xr:revisionPtr revIDLastSave="0" documentId="13_ncr:1_{88ED77A5-D6A3-400D-BBFC-DE8D4EDB9F75}" xr6:coauthVersionLast="47" xr6:coauthVersionMax="47" xr10:uidLastSave="{00000000-0000-0000-0000-000000000000}"/>
  <bookViews>
    <workbookView xWindow="-120" yWindow="-120" windowWidth="29040" windowHeight="15840" xr2:uid="{A1BFF5B0-0749-4E66-B774-A16372F0BA03}"/>
  </bookViews>
  <sheets>
    <sheet name="Hoja1" sheetId="1" r:id="rId1"/>
    <sheet name="STOCK DE FARDOS" sheetId="3" r:id="rId2"/>
    <sheet name="FORMULAS" sheetId="2" state="hidden" r:id="rId3"/>
  </sheets>
  <definedNames>
    <definedName name="_xlnm.Print_Area" localSheetId="1">'STOCK DE FARDOS'!$A$1:$H$30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23" i="1"/>
  <c r="F34" i="1"/>
  <c r="F45" i="1"/>
  <c r="F42" i="1"/>
  <c r="E55" i="1"/>
  <c r="D85" i="1"/>
  <c r="F51" i="1"/>
  <c r="F52" i="1"/>
  <c r="F5" i="1"/>
  <c r="F6" i="1"/>
  <c r="F7" i="1"/>
  <c r="F8" i="1"/>
  <c r="F9" i="1"/>
  <c r="F10" i="1"/>
  <c r="F11" i="1"/>
  <c r="F48" i="1"/>
  <c r="F27" i="1"/>
  <c r="F18" i="1"/>
  <c r="F19" i="1"/>
  <c r="F20" i="1"/>
  <c r="F21" i="1"/>
  <c r="F22" i="1"/>
  <c r="F57" i="1" l="1"/>
  <c r="F33" i="1"/>
  <c r="B10" i="2"/>
  <c r="F50" i="1" l="1"/>
  <c r="G11" i="2"/>
  <c r="G15" i="2" s="1"/>
  <c r="F39" i="1" l="1"/>
  <c r="F37" i="1"/>
  <c r="F38" i="1"/>
  <c r="F32" i="1"/>
  <c r="F31" i="1"/>
  <c r="F29" i="1"/>
  <c r="F30" i="1"/>
  <c r="F28" i="1"/>
  <c r="F26" i="1"/>
  <c r="F17" i="1"/>
  <c r="F49" i="1" l="1"/>
  <c r="F53" i="1"/>
  <c r="F44" i="1"/>
  <c r="F41" i="1"/>
  <c r="F55" i="1" l="1"/>
  <c r="G16" i="2"/>
  <c r="G18" i="2" s="1"/>
  <c r="B8" i="2" s="1"/>
  <c r="C9" i="3" l="1"/>
  <c r="C30" i="3" s="1"/>
  <c r="A9" i="3"/>
  <c r="B14" i="2"/>
  <c r="F23" i="2" l="1"/>
  <c r="F24" i="2" s="1"/>
  <c r="F21" i="2"/>
  <c r="G21" i="2" s="1"/>
  <c r="B12" i="2"/>
  <c r="E45" i="1" l="1"/>
  <c r="F43" i="1"/>
  <c r="F40" i="1"/>
  <c r="E34" i="1"/>
  <c r="E23" i="1" l="1"/>
  <c r="E57" i="1" s="1"/>
  <c r="F16" i="1"/>
  <c r="F15" i="1"/>
</calcChain>
</file>

<file path=xl/sharedStrings.xml><?xml version="1.0" encoding="utf-8"?>
<sst xmlns="http://schemas.openxmlformats.org/spreadsheetml/2006/main" count="183" uniqueCount="83">
  <si>
    <t>FECHA</t>
  </si>
  <si>
    <t>DIA</t>
  </si>
  <si>
    <t>FARDOS</t>
  </si>
  <si>
    <t>KILOS</t>
  </si>
  <si>
    <t>LUNES</t>
  </si>
  <si>
    <t>HB</t>
  </si>
  <si>
    <t>TIPO N</t>
  </si>
  <si>
    <t>MARTES</t>
  </si>
  <si>
    <t>MIÉRCOLES</t>
  </si>
  <si>
    <t>JUEVES</t>
  </si>
  <si>
    <t>VIERNES</t>
  </si>
  <si>
    <t>SÁBADO</t>
  </si>
  <si>
    <t>DOMINGO</t>
  </si>
  <si>
    <t>TOTAL MES:</t>
  </si>
  <si>
    <t>STOCK FARDOS</t>
  </si>
  <si>
    <t>CAMIONES</t>
  </si>
  <si>
    <t>SABADO</t>
  </si>
  <si>
    <t xml:space="preserve">LUNES </t>
  </si>
  <si>
    <t>MIERCOLES</t>
  </si>
  <si>
    <t xml:space="preserve">JUEVES </t>
  </si>
  <si>
    <t>CAMION 26 SEMIMATE "N" 3,3</t>
  </si>
  <si>
    <t xml:space="preserve"> </t>
  </si>
  <si>
    <t>PORCENTAJE %</t>
  </si>
  <si>
    <t>Vo</t>
  </si>
  <si>
    <t>Vf</t>
  </si>
  <si>
    <t>1-%</t>
  </si>
  <si>
    <t>(=)</t>
  </si>
  <si>
    <t>-</t>
  </si>
  <si>
    <t>PROD. DIARIA:</t>
  </si>
  <si>
    <t>DIAS TRABAJADOS:</t>
  </si>
  <si>
    <t>MPAE  Vo:</t>
  </si>
  <si>
    <t>PT  Vf:</t>
  </si>
  <si>
    <t>CAMT: FARDOS:</t>
  </si>
  <si>
    <t>CANT: LOTES:</t>
  </si>
  <si>
    <t>FARDOS ENTREGADOS</t>
  </si>
  <si>
    <t>SALDO:</t>
  </si>
  <si>
    <t>8 FARDOS DE 200 KG</t>
  </si>
  <si>
    <t>TOPS ALPACA S/FINA Y GRUESA</t>
  </si>
  <si>
    <t xml:space="preserve">TOPS OVEJA </t>
  </si>
  <si>
    <t>2 TOPS</t>
  </si>
  <si>
    <t>4 TOPS</t>
  </si>
  <si>
    <t>TOPS S/FINA ALPACA</t>
  </si>
  <si>
    <t>TOTAL KILOS POR ENTREGAR</t>
  </si>
  <si>
    <t>CANTIDAD EN FARDOS</t>
  </si>
  <si>
    <t xml:space="preserve">DIAS POR ENTREGAR </t>
  </si>
  <si>
    <t>MATERIA PRIMA A ENTREGAR</t>
  </si>
  <si>
    <t>19 TOPS</t>
  </si>
  <si>
    <t>TOPS S/FINA ALPACA CLARO</t>
  </si>
  <si>
    <t>TOPS S/FINA ALPACA OSCURO</t>
  </si>
  <si>
    <t>10 TOPS</t>
  </si>
  <si>
    <t>11 TOPS</t>
  </si>
  <si>
    <t>14 FARDOS DE 200 KG</t>
  </si>
  <si>
    <t>5 FARDOS DE 400 Kg</t>
  </si>
  <si>
    <t>TOPS S/FINA ALPACA OSC.</t>
  </si>
  <si>
    <t>16 TOPS</t>
  </si>
  <si>
    <t>CAMION 32 NEGRO 3,6</t>
  </si>
  <si>
    <t>CAMION HB 03 S/MATE TIPO "N" 3,3</t>
  </si>
  <si>
    <t>CAMION 57 HB S/MATE 3,3</t>
  </si>
  <si>
    <t>ENTREGA DE FARDOS 2026</t>
  </si>
  <si>
    <t>1 FARDOS 400 KG</t>
  </si>
  <si>
    <t>CAMION 06 TIPO "N" S/MATE 1,6</t>
  </si>
  <si>
    <t>1 FARDO DE 200 KG</t>
  </si>
  <si>
    <t>CAMION 16 HB S/MATE 1,6 P/60109</t>
  </si>
  <si>
    <t>4 FARDOS DE 200 KG</t>
  </si>
  <si>
    <t>CAMION 16 HB S/MATE 1,6 P/60917</t>
  </si>
  <si>
    <t>2 FARDOS DE 200 KG</t>
  </si>
  <si>
    <t>CAMION 17 HB 1,6</t>
  </si>
  <si>
    <t>CAMION 17 TIPO "N" S/MATE 1,6 P/40138</t>
  </si>
  <si>
    <t>CAMION 17 TIPO "N" S/MATE 2,2</t>
  </si>
  <si>
    <t>CAMION 17 TIPO "N" S/MATE 1,6 P/30102</t>
  </si>
  <si>
    <t>2 FARDOS DE 400 Y 200 KG</t>
  </si>
  <si>
    <t>CAMION 17 TIPO "N" 1,6</t>
  </si>
  <si>
    <t>3 FARDOS DE 400 Y 200 KG</t>
  </si>
  <si>
    <t>CAMION 22 S/MATE "N" 2,2</t>
  </si>
  <si>
    <t>10 FARDOS DE 400 KG</t>
  </si>
  <si>
    <t>MAYO</t>
  </si>
  <si>
    <t>3 FARDOS DE 400 KG</t>
  </si>
  <si>
    <t>1 FARDOS DE 400 KG</t>
  </si>
  <si>
    <t>NEGRO - TIPO N</t>
  </si>
  <si>
    <t>CICLAN- S/MATE N 2,2</t>
  </si>
  <si>
    <t>3 FARDOS DE 400 Kg</t>
  </si>
  <si>
    <t>ENTREGA DE FARDOS DEL 23 DE MAYO DEL 2026</t>
  </si>
  <si>
    <t>CAMION 03 S/MATE TIPO N 3,3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</si>
</sst>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\-#,##0.00\ "/>
    <numFmt numFmtId="165" formatCode="_-* #,##0.000_-;\-* #,##0.000_-;_-* &quot;-&quot;??_-;_-@_-"/>
  </numFmts>
  <fonts count="19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2" fillId="0" borderId="0" xfId="0" applyFont="1"/>
    <xf numFmtId="43" fontId="0" fillId="0" borderId="0" xfId="0" applyNumberFormat="1"/>
    <xf numFmtId="43" fontId="2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43" fontId="6" fillId="0" borderId="0" xfId="0" applyNumberFormat="1" applyFont="1"/>
    <xf numFmtId="0" fontId="0" fillId="0" borderId="2" xfId="0" applyBorder="1"/>
    <xf numFmtId="164" fontId="6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0" xfId="0" applyFont="1"/>
    <xf numFmtId="43" fontId="8" fillId="0" borderId="0" xfId="0" applyNumberFormat="1" applyFont="1" applyAlignment="1">
      <alignment horizontal="center"/>
    </xf>
    <xf numFmtId="0" fontId="9" fillId="0" borderId="0" xfId="0" applyFont="1" applyAlignment="1">
      <alignment horizontal="right" vertical="center"/>
    </xf>
    <xf numFmtId="43" fontId="9" fillId="0" borderId="0" xfId="0" applyNumberFormat="1" applyFont="1"/>
    <xf numFmtId="43" fontId="8" fillId="0" borderId="0" xfId="0" applyNumberFormat="1" applyFont="1"/>
    <xf numFmtId="0" fontId="5" fillId="0" borderId="0" xfId="0" applyFont="1" applyAlignment="1">
      <alignment horizontal="center" vertical="center" wrapText="1"/>
    </xf>
    <xf numFmtId="0" fontId="12" fillId="0" borderId="0" xfId="0" applyFont="1"/>
    <xf numFmtId="0" fontId="6" fillId="0" borderId="0" xfId="0" applyFont="1"/>
    <xf numFmtId="43" fontId="2" fillId="0" borderId="0" xfId="0" applyNumberFormat="1" applyFont="1" applyAlignment="1">
      <alignment horizontal="right"/>
    </xf>
    <xf numFmtId="0" fontId="12" fillId="0" borderId="1" xfId="0" applyFont="1" applyBorder="1"/>
    <xf numFmtId="0" fontId="10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right"/>
    </xf>
    <xf numFmtId="0" fontId="14" fillId="0" borderId="0" xfId="0" applyFont="1" applyAlignment="1">
      <alignment horizontal="center" vertical="center" wrapText="1"/>
    </xf>
    <xf numFmtId="43" fontId="7" fillId="0" borderId="0" xfId="0" applyNumberFormat="1" applyFont="1" applyAlignment="1">
      <alignment horizontal="left" vertical="center"/>
    </xf>
    <xf numFmtId="0" fontId="0" fillId="0" borderId="1" xfId="0" applyBorder="1"/>
    <xf numFmtId="2" fontId="2" fillId="0" borderId="1" xfId="0" applyNumberFormat="1" applyFont="1" applyBorder="1" applyAlignment="1">
      <alignment horizontal="right" vertical="center"/>
    </xf>
    <xf numFmtId="43" fontId="8" fillId="0" borderId="1" xfId="0" applyNumberFormat="1" applyFont="1" applyBorder="1" applyAlignment="1">
      <alignment horizontal="right" vertical="center"/>
    </xf>
    <xf numFmtId="0" fontId="15" fillId="0" borderId="0" xfId="0" applyFont="1"/>
    <xf numFmtId="43" fontId="5" fillId="0" borderId="0" xfId="0" applyNumberFormat="1" applyFont="1" applyAlignment="1">
      <alignment horizontal="right" vertical="center" wrapText="1"/>
    </xf>
    <xf numFmtId="14" fontId="0" fillId="0" borderId="0" xfId="0" applyNumberFormat="1" applyAlignment="1">
      <alignment horizontal="right"/>
    </xf>
    <xf numFmtId="165" fontId="2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right"/>
    </xf>
    <xf numFmtId="0" fontId="12" fillId="0" borderId="1" xfId="0" applyFont="1" applyBorder="1" applyAlignment="1">
      <alignment horizontal="right" vertical="center"/>
    </xf>
    <xf numFmtId="0" fontId="8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43" fontId="4" fillId="0" borderId="0" xfId="0" applyNumberFormat="1" applyFont="1"/>
    <xf numFmtId="43" fontId="10" fillId="0" borderId="0" xfId="0" applyNumberFormat="1" applyFont="1"/>
    <xf numFmtId="43" fontId="6" fillId="0" borderId="0" xfId="0" applyNumberFormat="1" applyFont="1" applyAlignment="1">
      <alignment horizontal="left" vertical="center"/>
    </xf>
    <xf numFmtId="43" fontId="17" fillId="0" borderId="0" xfId="0" applyNumberFormat="1" applyFont="1" applyAlignment="1">
      <alignment wrapText="1"/>
    </xf>
    <xf numFmtId="0" fontId="18" fillId="0" borderId="0" xfId="0" applyFont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wrapText="1"/>
    </xf>
    <xf numFmtId="43" fontId="18" fillId="0" borderId="0" xfId="0" applyNumberFormat="1" applyFont="1"/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2" fillId="0" borderId="0" xfId="0" applyFont="1" applyAlignment="1">
      <alignment horizontal="center"/>
    </xf>
    <xf numFmtId="0" fontId="12" fillId="4" borderId="0" xfId="0" applyFont="1" applyFill="1" applyAlignment="1">
      <alignment horizontal="center"/>
    </xf>
    <xf numFmtId="0" fontId="12" fillId="0" borderId="0" xfId="0" applyFont="1" applyAlignment="1">
      <alignment horizontal="right" vertical="center"/>
    </xf>
    <xf numFmtId="0" fontId="12" fillId="4" borderId="0" xfId="0" applyFont="1" applyFill="1" applyAlignment="1">
      <alignment horizontal="right"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right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43" fontId="6" fillId="0" borderId="0" xfId="0" applyNumberFormat="1" applyFont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right"/>
    </xf>
    <xf numFmtId="43" fontId="3" fillId="0" borderId="0" xfId="0" applyNumberFormat="1" applyFont="1" applyAlignment="1">
      <alignment horizontal="right" vertical="center" wrapText="1"/>
    </xf>
    <xf numFmtId="43" fontId="14" fillId="0" borderId="0" xfId="0" applyNumberFormat="1" applyFont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3" fontId="11" fillId="0" borderId="9" xfId="0" applyNumberFormat="1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4" borderId="1" xfId="0" applyFont="1" applyFill="1" applyBorder="1" applyAlignment="1">
      <alignment horizontal="right" wrapText="1"/>
    </xf>
    <xf numFmtId="0" fontId="12" fillId="4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right"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0" fontId="12" fillId="4" borderId="6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43" fontId="12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3" fontId="2" fillId="0" borderId="3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43" fontId="4" fillId="0" borderId="4" xfId="0" applyNumberFormat="1" applyFont="1" applyBorder="1" applyAlignment="1">
      <alignment horizontal="center" vertical="center"/>
    </xf>
    <xf numFmtId="43" fontId="4" fillId="0" borderId="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3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3">
    <dxf>
      <numFmt numFmtId="35" formatCode="_-* #,##0.00_-;\-* #,##0.00_-;_-* &quot;-&quot;??_-;_-@_-"/>
    </dxf>
    <dxf>
      <alignment horizontal="center" vertical="bottom" textRotation="0" wrapText="0" indent="0" justifyLastLine="0" shrinkToFit="0" readingOrder="0"/>
    </dxf>
    <dxf>
      <numFmt numFmtId="35" formatCode="_-* #,##0.00_-;\-* #,##0.00_-;_-* &quot;-&quot;??_-;_-@_-"/>
    </dxf>
    <dxf>
      <alignment horizontal="center" vertical="bottom" textRotation="0" wrapText="0" indent="0" justifyLastLine="0" shrinkToFit="0" readingOrder="0"/>
    </dxf>
    <dxf>
      <numFmt numFmtId="35" formatCode="_-* #,##0.00_-;\-* #,##0.00_-;_-* &quot;-&quot;??_-;_-@_-"/>
    </dxf>
    <dxf>
      <numFmt numFmtId="19" formatCode="d/m/yyyy"/>
    </dxf>
    <dxf>
      <alignment horizontal="center" vertical="bottom" textRotation="0" wrapText="0" indent="0" justifyLastLine="0" shrinkToFit="0" readingOrder="0"/>
    </dxf>
    <dxf>
      <numFmt numFmtId="35" formatCode="_-* #,##0.00_-;\-* #,##0.00_-;_-* &quot;-&quot;??_-;_-@_-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5" formatCode="_-* #,##0.00_-;\-* #,##0.00_-;_-* &quot;-&quot;??_-;_-@_-"/>
    </dxf>
    <dxf>
      <numFmt numFmtId="35" formatCode="_-* #,##0.00_-;\-* #,##0.0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CC74C4-E701-489B-9D70-897619B78DCB}" name="Tabla1" displayName="Tabla1" ref="A4:F12" totalsRowCount="1" headerRowDxfId="12">
  <autoFilter ref="A4:F11" xr:uid="{E9CC74C4-E701-489B-9D70-897619B78DCB}"/>
  <tableColumns count="6">
    <tableColumn id="1" xr3:uid="{80D0CA9B-EF56-4F54-8351-95A6A4BD7133}" name="FECHA"/>
    <tableColumn id="2" xr3:uid="{29D2D513-4985-4D1E-B47D-DA0C9AC9A32B}" name="DIA"/>
    <tableColumn id="6" xr3:uid="{51BF2FF8-909A-4A21-B035-998494953D68}" name="HB"/>
    <tableColumn id="5" xr3:uid="{1F379E49-5CE8-44D8-9E8E-63FF6C7CB9F8}" name="TIPO N"/>
    <tableColumn id="3" xr3:uid="{D9097E78-64D1-476F-BE5C-73AC8D104139}" name="FARDOS" totalsRowDxfId="11"/>
    <tableColumn id="4" xr3:uid="{BEA9D95D-330A-4078-99BF-F8A30A6FD969}" name="KILOS" totalsRowFunction="custom" dataDxfId="10" totalsRowDxfId="9">
      <calculatedColumnFormula>Tabla1[[#This Row],[HB]]+Tabla1[[#This Row],[TIPO N]]</calculatedColumnFormula>
      <totalsRowFormula>SUM(F5:F11,F2)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84BD1D-C4F4-4378-8BA4-1768C2C80433}" name="Tabla13" displayName="Tabla13" ref="A14:F22" totalsRowShown="0" headerRowDxfId="8">
  <autoFilter ref="A14:F22" xr:uid="{2484BD1D-C4F4-4378-8BA4-1768C2C80433}"/>
  <tableColumns count="6">
    <tableColumn id="1" xr3:uid="{2995AC5A-632A-449F-9DAF-62ECC531B711}" name="FECHA"/>
    <tableColumn id="2" xr3:uid="{AF2352A7-E3CD-45BA-9327-A40BD115DDBF}" name="DIA"/>
    <tableColumn id="6" xr3:uid="{5DBBE868-7FE6-4D0C-B20A-B8890CDE7096}" name="HB"/>
    <tableColumn id="5" xr3:uid="{E45BD6F4-E1E6-4E7F-9563-9890126EB041}" name="NEGRO - TIPO N"/>
    <tableColumn id="3" xr3:uid="{829AAB66-28C9-48BB-806B-9FEB833F089A}" name="FARDOS"/>
    <tableColumn id="4" xr3:uid="{52972EA0-12A4-4F55-99EF-1DB76D92FC6C}" name="KILOS" dataDxfId="7">
      <calculatedColumnFormula>C15+D15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8ACB0A-52D2-4BE2-895D-87299FE142F4}" name="Tabla134" displayName="Tabla134" ref="A25:F33" totalsRowShown="0" headerRowDxfId="6">
  <autoFilter ref="A25:F33" xr:uid="{D68ACB0A-52D2-4BE2-895D-87299FE142F4}"/>
  <tableColumns count="6">
    <tableColumn id="1" xr3:uid="{FD00DDF5-7B0E-4AAB-A48E-86444F0C6532}" name="FECHA" dataDxfId="5"/>
    <tableColumn id="2" xr3:uid="{9668D03D-A575-49DF-BBAE-6C74A0D2AE14}" name="DIA"/>
    <tableColumn id="6" xr3:uid="{7FF2FC0D-B7ED-4EC7-A509-3AAB859F947E}" name="HB"/>
    <tableColumn id="5" xr3:uid="{3FB0129D-1A5D-4BEC-9212-DB169AAF971E}" name="TIPO N"/>
    <tableColumn id="3" xr3:uid="{7BC8BD43-44AB-4E70-8347-DCCD4774A14B}" name="FARDOS"/>
    <tableColumn id="4" xr3:uid="{09B137A9-C57B-43E0-A70B-436C9758B264}" name="KILOS" dataDxfId="4">
      <calculatedColumnFormula>C26+D26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69DD3C-00B0-46B0-804A-61A63229A435}" name="Tabla1345" displayName="Tabla1345" ref="A36:F44" totalsRowShown="0" headerRowDxfId="3">
  <autoFilter ref="A36:F44" xr:uid="{AF69DD3C-00B0-46B0-804A-61A63229A435}"/>
  <tableColumns count="6">
    <tableColumn id="1" xr3:uid="{25DA0604-3207-452F-987F-783082C660B3}" name="FECHA"/>
    <tableColumn id="2" xr3:uid="{91AB6AED-94F6-490D-855D-DC029E833B7E}" name="DIA"/>
    <tableColumn id="6" xr3:uid="{63DFEB23-53AF-44FD-9021-8067F39507DB}" name="HB"/>
    <tableColumn id="5" xr3:uid="{89E91E76-2CC5-4EAE-90AD-D74D0785061C}" name="CICLAN- S/MATE N 2,2"/>
    <tableColumn id="3" xr3:uid="{0E4A7F3B-214E-4270-85EF-25488FACB105}" name="FARDOS"/>
    <tableColumn id="4" xr3:uid="{6A706DAE-B3D2-4EA0-A371-6E4092E7F1D5}" name="KILOS" dataDxfId="2">
      <calculatedColumnFormula>C37+D37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B99DED-7A68-475A-8A60-DE6018C7F699}" name="Tabla13456" displayName="Tabla13456" ref="A47:F53" totalsRowShown="0" headerRowDxfId="1">
  <autoFilter ref="A47:F53" xr:uid="{B3B99DED-7A68-475A-8A60-DE6018C7F699}"/>
  <tableColumns count="6">
    <tableColumn id="1" xr3:uid="{D8F3EA3B-20AD-4986-9BAB-81A04681C500}" name="FECHA"/>
    <tableColumn id="2" xr3:uid="{6AA10720-FAE2-4D63-92D3-1EAED36624FD}" name="DIA"/>
    <tableColumn id="6" xr3:uid="{D351C237-A083-4237-A767-DABDFB59ADFB}" name="HB"/>
    <tableColumn id="5" xr3:uid="{216A3805-3153-436C-9F1F-96FEEB5B6133}" name="TIPO N"/>
    <tableColumn id="3" xr3:uid="{519E26EE-D8DC-4125-A12E-87962EBE3941}" name="FARDOS"/>
    <tableColumn id="4" xr3:uid="{5693FD08-75E7-4E23-BF91-322DA6BDDCF3}" name="KILOS" dataDxfId="0">
      <calculatedColumnFormula>Tabla13456[[#This Row],[HB]]+Tabla13456[[#This Row],[TIPO N]]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0E21D-32C3-424C-A007-FAB9FF0A9E11}">
  <sheetPr codeName="Hoja1"/>
  <dimension ref="A1:K85"/>
  <sheetViews>
    <sheetView tabSelected="1" topLeftCell="A61" zoomScale="85" zoomScaleNormal="85" workbookViewId="0">
      <selection activeCell="A74" sqref="A74:XFD74"/>
    </sheetView>
  </sheetViews>
  <sheetFormatPr baseColWidth="10" defaultRowHeight="15.75" x14ac:dyDescent="0.25"/>
  <cols>
    <col min="1" max="1" width="14" customWidth="1"/>
    <col min="2" max="2" width="24.5" customWidth="1"/>
    <col min="3" max="3" width="14.5" customWidth="1"/>
    <col min="4" max="4" width="16.25" customWidth="1"/>
    <col min="5" max="5" width="11.125" bestFit="1" customWidth="1"/>
    <col min="6" max="6" width="19" customWidth="1"/>
    <col min="7" max="7" width="14.875" customWidth="1"/>
    <col min="8" max="8" width="18.75" customWidth="1"/>
    <col min="9" max="9" width="13.5" customWidth="1"/>
  </cols>
  <sheetData>
    <row r="1" spans="1:9" ht="23.25" x14ac:dyDescent="0.35">
      <c r="A1" s="67" t="s">
        <v>58</v>
      </c>
      <c r="B1" s="67"/>
      <c r="C1" s="67"/>
      <c r="D1" s="67"/>
      <c r="E1" s="67"/>
      <c r="F1" s="67"/>
    </row>
    <row r="2" spans="1:9" ht="23.25" x14ac:dyDescent="0.35">
      <c r="A2" s="68" t="s">
        <v>75</v>
      </c>
      <c r="B2" s="68"/>
      <c r="C2" s="68"/>
      <c r="D2" s="68"/>
      <c r="E2" s="68"/>
      <c r="F2" s="68"/>
    </row>
    <row r="4" spans="1:9" x14ac:dyDescent="0.25">
      <c r="A4" s="1" t="s">
        <v>0</v>
      </c>
      <c r="B4" s="1" t="s">
        <v>1</v>
      </c>
      <c r="C4" s="1" t="s">
        <v>5</v>
      </c>
      <c r="D4" s="1" t="s">
        <v>6</v>
      </c>
      <c r="E4" s="1" t="s">
        <v>2</v>
      </c>
      <c r="F4" s="1" t="s">
        <v>3</v>
      </c>
    </row>
    <row r="5" spans="1:9" x14ac:dyDescent="0.25">
      <c r="A5" s="2"/>
      <c r="B5" t="s">
        <v>17</v>
      </c>
      <c r="F5" s="4">
        <f>Tabla1[[#This Row],[HB]]+Tabla1[[#This Row],[TIPO N]]</f>
        <v>0</v>
      </c>
    </row>
    <row r="6" spans="1:9" x14ac:dyDescent="0.25">
      <c r="A6" s="42"/>
      <c r="B6" t="s">
        <v>7</v>
      </c>
      <c r="F6" s="4">
        <f>Tabla1[[#This Row],[HB]]+Tabla1[[#This Row],[TIPO N]]</f>
        <v>0</v>
      </c>
      <c r="G6" s="9"/>
    </row>
    <row r="7" spans="1:9" x14ac:dyDescent="0.25">
      <c r="A7" s="2"/>
      <c r="B7" t="s">
        <v>18</v>
      </c>
      <c r="F7" s="4">
        <f>Tabla1[[#This Row],[HB]]+Tabla1[[#This Row],[TIPO N]]</f>
        <v>0</v>
      </c>
      <c r="H7" s="11"/>
    </row>
    <row r="8" spans="1:9" x14ac:dyDescent="0.25">
      <c r="A8" s="2"/>
      <c r="B8" t="s">
        <v>19</v>
      </c>
      <c r="F8" s="4">
        <f>Tabla1[[#This Row],[HB]]+Tabla1[[#This Row],[TIPO N]]</f>
        <v>0</v>
      </c>
    </row>
    <row r="9" spans="1:9" x14ac:dyDescent="0.25">
      <c r="A9" s="42">
        <v>46143</v>
      </c>
      <c r="B9" t="s">
        <v>10</v>
      </c>
      <c r="F9" s="4">
        <f>Tabla1[[#This Row],[HB]]+Tabla1[[#This Row],[TIPO N]]</f>
        <v>0</v>
      </c>
    </row>
    <row r="10" spans="1:9" x14ac:dyDescent="0.25">
      <c r="A10" s="2">
        <v>46144</v>
      </c>
      <c r="B10" t="s">
        <v>16</v>
      </c>
      <c r="F10" s="4">
        <f>Tabla1[[#This Row],[HB]]+Tabla1[[#This Row],[TIPO N]]</f>
        <v>0</v>
      </c>
      <c r="G10" s="7"/>
    </row>
    <row r="11" spans="1:9" x14ac:dyDescent="0.25">
      <c r="A11" s="2">
        <v>46145</v>
      </c>
      <c r="B11" t="s">
        <v>12</v>
      </c>
      <c r="C11">
        <v>4907.3999999999996</v>
      </c>
      <c r="E11">
        <v>11</v>
      </c>
      <c r="F11" s="4">
        <f>Tabla1[[#This Row],[HB]]+Tabla1[[#This Row],[TIPO N]]</f>
        <v>4907.3999999999996</v>
      </c>
    </row>
    <row r="12" spans="1:9" ht="18.75" x14ac:dyDescent="0.3">
      <c r="E12" s="3"/>
      <c r="F12" s="5">
        <f>SUM(F5:F11,F2)</f>
        <v>4907.3999999999996</v>
      </c>
    </row>
    <row r="14" spans="1:9" x14ac:dyDescent="0.25">
      <c r="A14" s="1" t="s">
        <v>0</v>
      </c>
      <c r="B14" s="1" t="s">
        <v>1</v>
      </c>
      <c r="C14" s="1" t="s">
        <v>5</v>
      </c>
      <c r="D14" s="1" t="s">
        <v>78</v>
      </c>
      <c r="E14" s="1" t="s">
        <v>2</v>
      </c>
      <c r="F14" s="1" t="s">
        <v>3</v>
      </c>
      <c r="G14" s="1"/>
      <c r="H14" s="1"/>
    </row>
    <row r="15" spans="1:9" ht="18.75" x14ac:dyDescent="0.3">
      <c r="A15" s="2">
        <v>46146</v>
      </c>
      <c r="B15" t="s">
        <v>4</v>
      </c>
      <c r="C15">
        <v>4435.5</v>
      </c>
      <c r="D15">
        <v>1627.4</v>
      </c>
      <c r="E15">
        <v>14.5</v>
      </c>
      <c r="F15" s="4">
        <f t="shared" ref="F15:F22" si="0">C15+D15</f>
        <v>6062.9</v>
      </c>
      <c r="G15" s="22"/>
      <c r="H15" s="22"/>
      <c r="I15" s="7"/>
    </row>
    <row r="16" spans="1:9" x14ac:dyDescent="0.25">
      <c r="A16" s="2">
        <v>46147</v>
      </c>
      <c r="B16" t="s">
        <v>7</v>
      </c>
      <c r="C16">
        <v>4002.9</v>
      </c>
      <c r="E16">
        <v>9</v>
      </c>
      <c r="F16" s="4">
        <f t="shared" si="0"/>
        <v>4002.9</v>
      </c>
      <c r="G16" s="9"/>
    </row>
    <row r="17" spans="1:9" ht="18.75" x14ac:dyDescent="0.3">
      <c r="A17" s="2">
        <v>46148</v>
      </c>
      <c r="B17" t="s">
        <v>8</v>
      </c>
      <c r="C17">
        <v>4005.1</v>
      </c>
      <c r="D17">
        <v>1327.5</v>
      </c>
      <c r="E17">
        <v>12</v>
      </c>
      <c r="F17" s="4">
        <f t="shared" ref="F17:F20" si="1">C17+D17</f>
        <v>5332.6</v>
      </c>
      <c r="G17" s="22"/>
    </row>
    <row r="18" spans="1:9" x14ac:dyDescent="0.25">
      <c r="A18" s="2">
        <v>46149</v>
      </c>
      <c r="B18" t="s">
        <v>9</v>
      </c>
      <c r="C18">
        <v>4016.76</v>
      </c>
      <c r="D18">
        <v>1779.1</v>
      </c>
      <c r="E18">
        <v>13</v>
      </c>
      <c r="F18" s="4">
        <f t="shared" si="0"/>
        <v>5795.8600000000006</v>
      </c>
    </row>
    <row r="19" spans="1:9" ht="18.75" x14ac:dyDescent="0.3">
      <c r="A19" s="2">
        <v>46150</v>
      </c>
      <c r="B19" t="s">
        <v>10</v>
      </c>
      <c r="C19">
        <v>2666.6</v>
      </c>
      <c r="D19">
        <v>1567.5</v>
      </c>
      <c r="E19">
        <v>9.5</v>
      </c>
      <c r="F19" s="4">
        <f t="shared" si="0"/>
        <v>4234.1000000000004</v>
      </c>
      <c r="G19" s="46"/>
      <c r="H19" s="19"/>
      <c r="I19" s="22"/>
    </row>
    <row r="20" spans="1:9" ht="18.75" x14ac:dyDescent="0.3">
      <c r="A20" s="2">
        <v>46151</v>
      </c>
      <c r="B20" t="s">
        <v>11</v>
      </c>
      <c r="C20">
        <v>2688.1</v>
      </c>
      <c r="E20">
        <v>6</v>
      </c>
      <c r="F20" s="4">
        <f t="shared" si="1"/>
        <v>2688.1</v>
      </c>
      <c r="G20" s="46"/>
      <c r="H20" s="13"/>
      <c r="I20" s="22"/>
    </row>
    <row r="21" spans="1:9" x14ac:dyDescent="0.25">
      <c r="A21" s="2">
        <v>46152</v>
      </c>
      <c r="B21" t="s">
        <v>12</v>
      </c>
      <c r="C21">
        <v>4238.1000000000004</v>
      </c>
      <c r="E21">
        <v>9.5</v>
      </c>
      <c r="F21" s="4">
        <f t="shared" si="0"/>
        <v>4238.1000000000004</v>
      </c>
    </row>
    <row r="22" spans="1:9" x14ac:dyDescent="0.25">
      <c r="A22" s="2"/>
      <c r="F22" s="4">
        <f t="shared" si="0"/>
        <v>0</v>
      </c>
    </row>
    <row r="23" spans="1:9" ht="18.75" x14ac:dyDescent="0.3">
      <c r="E23" s="3">
        <f>SUM(Tabla13[FARDOS])</f>
        <v>73.5</v>
      </c>
      <c r="F23" s="5">
        <f>SUM(Tabla13[KILOS])</f>
        <v>32354.559999999998</v>
      </c>
    </row>
    <row r="25" spans="1:9" x14ac:dyDescent="0.25">
      <c r="A25" s="1" t="s">
        <v>0</v>
      </c>
      <c r="B25" s="1" t="s">
        <v>1</v>
      </c>
      <c r="C25" s="1" t="s">
        <v>5</v>
      </c>
      <c r="D25" s="1" t="s">
        <v>6</v>
      </c>
      <c r="E25" s="1" t="s">
        <v>2</v>
      </c>
      <c r="F25" s="1" t="s">
        <v>3</v>
      </c>
      <c r="G25" s="1"/>
      <c r="I25" s="7"/>
    </row>
    <row r="26" spans="1:9" x14ac:dyDescent="0.25">
      <c r="A26" s="2">
        <v>46153</v>
      </c>
      <c r="B26" t="s">
        <v>4</v>
      </c>
      <c r="C26">
        <v>3353</v>
      </c>
      <c r="D26">
        <v>3584.4</v>
      </c>
      <c r="E26">
        <v>15.5</v>
      </c>
      <c r="F26" s="4">
        <f t="shared" ref="F26:F32" si="2">C26+D26</f>
        <v>6937.4</v>
      </c>
    </row>
    <row r="27" spans="1:9" x14ac:dyDescent="0.25">
      <c r="A27" s="2">
        <v>46154</v>
      </c>
      <c r="B27" t="s">
        <v>7</v>
      </c>
      <c r="C27">
        <v>2247.1999999999998</v>
      </c>
      <c r="D27">
        <v>1774.2</v>
      </c>
      <c r="E27">
        <v>9</v>
      </c>
      <c r="F27" s="4">
        <f t="shared" si="2"/>
        <v>4021.3999999999996</v>
      </c>
    </row>
    <row r="28" spans="1:9" x14ac:dyDescent="0.25">
      <c r="A28" s="2">
        <v>46155</v>
      </c>
      <c r="B28" t="s">
        <v>8</v>
      </c>
      <c r="C28">
        <v>3562.5</v>
      </c>
      <c r="D28">
        <v>1336.1</v>
      </c>
      <c r="E28">
        <v>11</v>
      </c>
      <c r="F28" s="4">
        <f t="shared" si="2"/>
        <v>4898.6000000000004</v>
      </c>
      <c r="H28" s="4"/>
    </row>
    <row r="29" spans="1:9" ht="21" x14ac:dyDescent="0.35">
      <c r="A29" s="2">
        <v>46156</v>
      </c>
      <c r="B29" t="s">
        <v>9</v>
      </c>
      <c r="F29" s="4">
        <f t="shared" si="2"/>
        <v>0</v>
      </c>
      <c r="H29" s="56"/>
    </row>
    <row r="30" spans="1:9" x14ac:dyDescent="0.25">
      <c r="A30" s="2">
        <v>46157</v>
      </c>
      <c r="B30" t="s">
        <v>10</v>
      </c>
      <c r="F30" s="4">
        <f t="shared" si="2"/>
        <v>0</v>
      </c>
    </row>
    <row r="31" spans="1:9" x14ac:dyDescent="0.25">
      <c r="A31" s="2">
        <v>46158</v>
      </c>
      <c r="B31" t="s">
        <v>11</v>
      </c>
      <c r="F31" s="4">
        <f t="shared" si="2"/>
        <v>0</v>
      </c>
    </row>
    <row r="32" spans="1:9" x14ac:dyDescent="0.25">
      <c r="A32" s="2">
        <v>46159</v>
      </c>
      <c r="B32" t="s">
        <v>12</v>
      </c>
      <c r="F32" s="4">
        <f t="shared" si="2"/>
        <v>0</v>
      </c>
    </row>
    <row r="33" spans="1:9" x14ac:dyDescent="0.25">
      <c r="A33" s="2"/>
      <c r="F33" s="4">
        <f>C33+D33</f>
        <v>0</v>
      </c>
    </row>
    <row r="34" spans="1:9" ht="18.75" x14ac:dyDescent="0.3">
      <c r="E34" s="3">
        <f>SUM(E26:E33)</f>
        <v>35.5</v>
      </c>
      <c r="F34" s="5">
        <f>SUM(F26:F33)</f>
        <v>15857.4</v>
      </c>
    </row>
    <row r="36" spans="1:9" ht="18.75" x14ac:dyDescent="0.3">
      <c r="A36" s="1" t="s">
        <v>0</v>
      </c>
      <c r="B36" s="1" t="s">
        <v>1</v>
      </c>
      <c r="C36" s="1" t="s">
        <v>5</v>
      </c>
      <c r="D36" s="1" t="s">
        <v>79</v>
      </c>
      <c r="E36" s="1" t="s">
        <v>2</v>
      </c>
      <c r="F36" s="1" t="s">
        <v>3</v>
      </c>
      <c r="H36" s="22"/>
      <c r="I36" s="22"/>
    </row>
    <row r="37" spans="1:9" ht="18.75" x14ac:dyDescent="0.3">
      <c r="A37" s="2">
        <v>46160</v>
      </c>
      <c r="B37" t="s">
        <v>4</v>
      </c>
      <c r="C37">
        <v>1994</v>
      </c>
      <c r="D37">
        <v>1988</v>
      </c>
      <c r="E37">
        <v>9.5</v>
      </c>
      <c r="F37" s="4">
        <f>C37+D37</f>
        <v>3982</v>
      </c>
      <c r="H37" s="22"/>
      <c r="I37" s="22"/>
    </row>
    <row r="38" spans="1:9" x14ac:dyDescent="0.25">
      <c r="A38" s="2">
        <v>46161</v>
      </c>
      <c r="B38" t="s">
        <v>7</v>
      </c>
      <c r="F38" s="4">
        <f>C38+D38</f>
        <v>0</v>
      </c>
      <c r="G38" s="9"/>
    </row>
    <row r="39" spans="1:9" ht="18.75" x14ac:dyDescent="0.3">
      <c r="A39" s="2">
        <v>46162</v>
      </c>
      <c r="B39" t="s">
        <v>8</v>
      </c>
      <c r="F39" s="4">
        <f>C39+D39</f>
        <v>0</v>
      </c>
      <c r="G39" s="22"/>
      <c r="H39" s="22"/>
    </row>
    <row r="40" spans="1:9" ht="18.75" x14ac:dyDescent="0.3">
      <c r="A40" s="2">
        <v>46163</v>
      </c>
      <c r="B40" t="s">
        <v>9</v>
      </c>
      <c r="F40" s="4">
        <f t="shared" ref="F40:F43" si="3">C40+D40</f>
        <v>0</v>
      </c>
      <c r="G40" s="22"/>
      <c r="H40" s="22"/>
    </row>
    <row r="41" spans="1:9" x14ac:dyDescent="0.25">
      <c r="A41" s="2">
        <v>46164</v>
      </c>
      <c r="B41" t="s">
        <v>10</v>
      </c>
      <c r="C41">
        <v>697.2</v>
      </c>
      <c r="E41">
        <v>1.5</v>
      </c>
      <c r="F41" s="4">
        <f t="shared" si="3"/>
        <v>697.2</v>
      </c>
    </row>
    <row r="42" spans="1:9" ht="18.75" x14ac:dyDescent="0.3">
      <c r="A42" s="2">
        <v>46165</v>
      </c>
      <c r="B42" t="s">
        <v>11</v>
      </c>
      <c r="D42">
        <v>3586.3</v>
      </c>
      <c r="E42">
        <v>9</v>
      </c>
      <c r="F42" s="4">
        <f t="shared" si="3"/>
        <v>3586.3</v>
      </c>
      <c r="H42" s="22"/>
      <c r="I42" s="3"/>
    </row>
    <row r="43" spans="1:9" ht="18.75" x14ac:dyDescent="0.3">
      <c r="A43" s="2">
        <v>46166</v>
      </c>
      <c r="B43" t="s">
        <v>12</v>
      </c>
      <c r="F43" s="4">
        <f t="shared" si="3"/>
        <v>0</v>
      </c>
      <c r="H43" s="3"/>
      <c r="I43" s="3"/>
    </row>
    <row r="44" spans="1:9" x14ac:dyDescent="0.25">
      <c r="A44" s="2"/>
      <c r="F44" s="4">
        <f>C44+D44</f>
        <v>0</v>
      </c>
    </row>
    <row r="45" spans="1:9" ht="18.75" x14ac:dyDescent="0.3">
      <c r="E45" s="3">
        <f>SUM(Tabla1345[FARDOS])</f>
        <v>20</v>
      </c>
      <c r="F45" s="5">
        <f>SUM(F37:F44)</f>
        <v>8265.5</v>
      </c>
    </row>
    <row r="47" spans="1:9" ht="18.75" x14ac:dyDescent="0.3">
      <c r="A47" s="1" t="s">
        <v>0</v>
      </c>
      <c r="B47" s="1" t="s">
        <v>1</v>
      </c>
      <c r="C47" s="1" t="s">
        <v>5</v>
      </c>
      <c r="D47" s="1" t="s">
        <v>6</v>
      </c>
      <c r="E47" s="1" t="s">
        <v>2</v>
      </c>
      <c r="F47" s="1" t="s">
        <v>3</v>
      </c>
      <c r="H47" s="3"/>
      <c r="I47" s="3"/>
    </row>
    <row r="48" spans="1:9" ht="18.75" x14ac:dyDescent="0.3">
      <c r="A48" s="2">
        <v>46167</v>
      </c>
      <c r="B48" t="s">
        <v>4</v>
      </c>
      <c r="F48" s="4">
        <f>Tabla13456[[#This Row],[HB]]+Tabla13456[[#This Row],[TIPO N]]</f>
        <v>0</v>
      </c>
      <c r="H48" s="22"/>
    </row>
    <row r="49" spans="1:11" ht="21" x14ac:dyDescent="0.35">
      <c r="A49" s="2">
        <v>46168</v>
      </c>
      <c r="B49" t="s">
        <v>7</v>
      </c>
      <c r="F49" s="4">
        <f>Tabla13456[[#This Row],[HB]]+Tabla13456[[#This Row],[TIPO N]]</f>
        <v>0</v>
      </c>
      <c r="H49" s="56"/>
      <c r="I49" s="53"/>
      <c r="J49" s="53"/>
    </row>
    <row r="50" spans="1:11" ht="21" x14ac:dyDescent="0.35">
      <c r="A50" s="2">
        <v>46169</v>
      </c>
      <c r="B50" t="s">
        <v>8</v>
      </c>
      <c r="F50" s="4">
        <f>Tabla13456[[#This Row],[HB]]+Tabla13456[[#This Row],[TIPO N]]</f>
        <v>0</v>
      </c>
      <c r="H50" s="53"/>
      <c r="I50" s="53"/>
      <c r="J50" s="53"/>
    </row>
    <row r="51" spans="1:11" ht="21" x14ac:dyDescent="0.35">
      <c r="A51" s="2">
        <v>46170</v>
      </c>
      <c r="B51" t="s">
        <v>9</v>
      </c>
      <c r="F51" s="4">
        <f>Tabla13456[[#This Row],[HB]]+Tabla13456[[#This Row],[TIPO N]]</f>
        <v>0</v>
      </c>
      <c r="H51" s="53"/>
      <c r="I51" s="53"/>
      <c r="J51" s="53"/>
    </row>
    <row r="52" spans="1:11" ht="21" x14ac:dyDescent="0.35">
      <c r="A52" s="2">
        <v>46171</v>
      </c>
      <c r="B52" t="s">
        <v>10</v>
      </c>
      <c r="F52" s="4">
        <f>Tabla13456[[#This Row],[HB]]+Tabla13456[[#This Row],[TIPO N]]</f>
        <v>0</v>
      </c>
      <c r="H52" s="53"/>
      <c r="I52" s="53"/>
      <c r="J52" s="53"/>
    </row>
    <row r="53" spans="1:11" x14ac:dyDescent="0.25">
      <c r="A53" s="2">
        <v>46172</v>
      </c>
      <c r="B53" t="s">
        <v>16</v>
      </c>
      <c r="F53" s="4">
        <f>Tabla13456[[#This Row],[HB]]+Tabla13456[[#This Row],[TIPO N]]</f>
        <v>0</v>
      </c>
      <c r="I53" s="4"/>
    </row>
    <row r="55" spans="1:11" ht="23.25" x14ac:dyDescent="0.35">
      <c r="E55" s="3">
        <f>SUM(Tabla13456[FARDOS])</f>
        <v>0</v>
      </c>
      <c r="F55" s="4">
        <f>SUM(F48:F54)</f>
        <v>0</v>
      </c>
      <c r="H55" s="12"/>
      <c r="I55" s="3"/>
    </row>
    <row r="57" spans="1:11" ht="31.5" customHeight="1" x14ac:dyDescent="0.4">
      <c r="D57" s="6" t="s">
        <v>13</v>
      </c>
      <c r="E57" s="8">
        <f>SUM(E55:E56,E45,E34,E23,E12)</f>
        <v>129</v>
      </c>
      <c r="F57" s="50">
        <f>SUM(F12,F23,F34,F45,F55)</f>
        <v>61384.86</v>
      </c>
      <c r="G57" s="41"/>
      <c r="H57" s="36"/>
      <c r="I57" s="35"/>
      <c r="J57" s="27"/>
      <c r="K57" s="9"/>
    </row>
    <row r="58" spans="1:11" ht="27.75" customHeight="1" x14ac:dyDescent="0.3">
      <c r="G58" s="30"/>
      <c r="H58" s="51"/>
      <c r="I58" s="74"/>
      <c r="J58" s="75"/>
    </row>
    <row r="59" spans="1:11" ht="23.25" customHeight="1" x14ac:dyDescent="0.35">
      <c r="C59" s="4"/>
      <c r="D59" s="4"/>
      <c r="F59" s="23"/>
      <c r="G59" s="77"/>
      <c r="H59" s="78"/>
      <c r="I59" s="49"/>
      <c r="K59" s="4"/>
    </row>
    <row r="60" spans="1:11" ht="26.25" customHeight="1" x14ac:dyDescent="0.3">
      <c r="D60" s="7"/>
      <c r="F60" s="5"/>
      <c r="G60" s="77"/>
      <c r="H60" s="78"/>
    </row>
    <row r="61" spans="1:11" ht="36.75" customHeight="1" x14ac:dyDescent="0.35">
      <c r="A61" s="69"/>
      <c r="B61" s="69"/>
      <c r="C61" s="69"/>
      <c r="D61" s="69"/>
      <c r="E61" s="69"/>
      <c r="F61" s="69"/>
      <c r="G61" s="44"/>
      <c r="H61" s="52"/>
      <c r="I61" s="4"/>
      <c r="J61" s="4"/>
      <c r="K61" s="4"/>
    </row>
    <row r="62" spans="1:11" x14ac:dyDescent="0.25">
      <c r="A62" t="s">
        <v>21</v>
      </c>
      <c r="H62" s="4"/>
    </row>
    <row r="63" spans="1:11" ht="21" x14ac:dyDescent="0.35">
      <c r="A63" s="70" t="s">
        <v>15</v>
      </c>
      <c r="B63" s="70"/>
      <c r="C63" s="71" t="s">
        <v>3</v>
      </c>
      <c r="D63" s="71"/>
      <c r="E63" s="71" t="s">
        <v>2</v>
      </c>
      <c r="F63" s="71"/>
    </row>
    <row r="64" spans="1:11" x14ac:dyDescent="0.25">
      <c r="A64" s="63" t="s">
        <v>20</v>
      </c>
      <c r="B64" s="63"/>
      <c r="C64" s="76">
        <v>1793.3</v>
      </c>
      <c r="D64" s="76"/>
      <c r="E64" s="63" t="s">
        <v>36</v>
      </c>
      <c r="F64" s="63"/>
    </row>
    <row r="65" spans="1:6" x14ac:dyDescent="0.25">
      <c r="A65" s="63" t="s">
        <v>37</v>
      </c>
      <c r="B65" s="63"/>
      <c r="C65" s="79">
        <v>33.799999999999997</v>
      </c>
      <c r="D65" s="79"/>
      <c r="E65" s="72" t="s">
        <v>40</v>
      </c>
      <c r="F65" s="73"/>
    </row>
    <row r="66" spans="1:6" x14ac:dyDescent="0.25">
      <c r="A66" s="63" t="s">
        <v>38</v>
      </c>
      <c r="B66" s="63"/>
      <c r="C66" s="79">
        <v>22.91</v>
      </c>
      <c r="D66" s="79"/>
      <c r="E66" s="72" t="s">
        <v>39</v>
      </c>
      <c r="F66" s="73"/>
    </row>
    <row r="67" spans="1:6" x14ac:dyDescent="0.25">
      <c r="A67" s="63" t="s">
        <v>41</v>
      </c>
      <c r="B67" s="63"/>
      <c r="C67" s="79">
        <v>261.39</v>
      </c>
      <c r="D67" s="79"/>
      <c r="E67" s="63" t="s">
        <v>46</v>
      </c>
      <c r="F67" s="63"/>
    </row>
    <row r="68" spans="1:6" x14ac:dyDescent="0.25">
      <c r="A68" s="63" t="s">
        <v>47</v>
      </c>
      <c r="B68" s="63"/>
      <c r="C68" s="76">
        <v>110.89</v>
      </c>
      <c r="D68" s="76"/>
      <c r="E68" s="63" t="s">
        <v>49</v>
      </c>
      <c r="F68" s="63"/>
    </row>
    <row r="69" spans="1:6" x14ac:dyDescent="0.25">
      <c r="A69" s="63" t="s">
        <v>48</v>
      </c>
      <c r="B69" s="63"/>
      <c r="C69" s="76">
        <v>130.66</v>
      </c>
      <c r="D69" s="76"/>
      <c r="E69" s="63" t="s">
        <v>50</v>
      </c>
      <c r="F69" s="63"/>
    </row>
    <row r="70" spans="1:6" x14ac:dyDescent="0.25">
      <c r="A70" s="72" t="s">
        <v>82</v>
      </c>
      <c r="B70" s="73"/>
      <c r="C70" s="76">
        <v>3127.8</v>
      </c>
      <c r="D70" s="76"/>
      <c r="E70" s="66" t="s">
        <v>51</v>
      </c>
      <c r="F70" s="66"/>
    </row>
    <row r="71" spans="1:6" x14ac:dyDescent="0.25">
      <c r="A71" s="63" t="s">
        <v>53</v>
      </c>
      <c r="B71" s="63"/>
      <c r="C71" s="64">
        <v>166.77</v>
      </c>
      <c r="D71" s="64"/>
      <c r="E71" s="66" t="s">
        <v>50</v>
      </c>
      <c r="F71" s="66"/>
    </row>
    <row r="72" spans="1:6" x14ac:dyDescent="0.25">
      <c r="A72" s="63" t="s">
        <v>47</v>
      </c>
      <c r="B72" s="63"/>
      <c r="C72" s="64">
        <v>220.81</v>
      </c>
      <c r="D72" s="64"/>
      <c r="E72" s="66" t="s">
        <v>54</v>
      </c>
      <c r="F72" s="66"/>
    </row>
    <row r="73" spans="1:6" ht="18" customHeight="1" x14ac:dyDescent="0.25">
      <c r="A73" s="63" t="s">
        <v>55</v>
      </c>
      <c r="B73" s="63"/>
      <c r="C73" s="64">
        <v>403.1</v>
      </c>
      <c r="D73" s="64"/>
      <c r="E73" s="66" t="s">
        <v>77</v>
      </c>
      <c r="F73" s="66"/>
    </row>
    <row r="74" spans="1:6" ht="23.25" customHeight="1" x14ac:dyDescent="0.25">
      <c r="A74" s="63" t="s">
        <v>57</v>
      </c>
      <c r="B74" s="63"/>
      <c r="C74" s="64">
        <v>400.9</v>
      </c>
      <c r="D74" s="64"/>
      <c r="E74" s="63" t="s">
        <v>59</v>
      </c>
      <c r="F74" s="63"/>
    </row>
    <row r="75" spans="1:6" ht="23.25" customHeight="1" x14ac:dyDescent="0.25">
      <c r="A75" s="65" t="s">
        <v>60</v>
      </c>
      <c r="B75" s="65"/>
      <c r="C75" s="64">
        <v>296.39999999999998</v>
      </c>
      <c r="D75" s="64"/>
      <c r="E75" s="63" t="s">
        <v>61</v>
      </c>
      <c r="F75" s="63"/>
    </row>
    <row r="76" spans="1:6" ht="23.25" customHeight="1" x14ac:dyDescent="0.25">
      <c r="A76" s="65" t="s">
        <v>62</v>
      </c>
      <c r="B76" s="65"/>
      <c r="C76" s="64">
        <v>1554.5</v>
      </c>
      <c r="D76" s="64"/>
      <c r="E76" s="63" t="s">
        <v>63</v>
      </c>
      <c r="F76" s="63"/>
    </row>
    <row r="77" spans="1:6" ht="23.25" customHeight="1" x14ac:dyDescent="0.25">
      <c r="A77" s="65" t="s">
        <v>64</v>
      </c>
      <c r="B77" s="65"/>
      <c r="C77" s="64">
        <v>807.4</v>
      </c>
      <c r="D77" s="64"/>
      <c r="E77" s="63" t="s">
        <v>65</v>
      </c>
      <c r="F77" s="63"/>
    </row>
    <row r="78" spans="1:6" ht="23.25" customHeight="1" x14ac:dyDescent="0.25">
      <c r="A78" s="65" t="s">
        <v>66</v>
      </c>
      <c r="B78" s="65"/>
      <c r="C78" s="64">
        <v>1207.9000000000001</v>
      </c>
      <c r="D78" s="64"/>
      <c r="E78" s="63" t="s">
        <v>76</v>
      </c>
      <c r="F78" s="63"/>
    </row>
    <row r="79" spans="1:6" ht="23.25" customHeight="1" x14ac:dyDescent="0.25">
      <c r="A79" s="65" t="s">
        <v>68</v>
      </c>
      <c r="B79" s="65"/>
      <c r="C79" s="64">
        <v>1202.9000000000001</v>
      </c>
      <c r="D79" s="64"/>
      <c r="E79" s="63" t="s">
        <v>80</v>
      </c>
      <c r="F79" s="63"/>
    </row>
    <row r="80" spans="1:6" ht="23.25" customHeight="1" x14ac:dyDescent="0.25">
      <c r="A80" s="65" t="s">
        <v>67</v>
      </c>
      <c r="B80" s="65"/>
      <c r="C80" s="64">
        <v>1986.3</v>
      </c>
      <c r="D80" s="64"/>
      <c r="E80" s="63" t="s">
        <v>52</v>
      </c>
      <c r="F80" s="63"/>
    </row>
    <row r="81" spans="1:6" ht="23.25" customHeight="1" x14ac:dyDescent="0.25">
      <c r="A81" s="65" t="s">
        <v>69</v>
      </c>
      <c r="B81" s="65"/>
      <c r="C81" s="64">
        <v>672.8</v>
      </c>
      <c r="D81" s="64"/>
      <c r="E81" s="63" t="s">
        <v>70</v>
      </c>
      <c r="F81" s="63"/>
    </row>
    <row r="82" spans="1:6" ht="23.25" customHeight="1" x14ac:dyDescent="0.25">
      <c r="A82" s="65" t="s">
        <v>71</v>
      </c>
      <c r="B82" s="65"/>
      <c r="C82" s="64">
        <v>982.4</v>
      </c>
      <c r="D82" s="64"/>
      <c r="E82" s="63" t="s">
        <v>72</v>
      </c>
      <c r="F82" s="63"/>
    </row>
    <row r="83" spans="1:6" ht="23.25" customHeight="1" x14ac:dyDescent="0.25">
      <c r="A83" s="80" t="s">
        <v>73</v>
      </c>
      <c r="B83" s="81"/>
      <c r="C83" s="64">
        <v>3998.9</v>
      </c>
      <c r="D83" s="64"/>
      <c r="E83" s="63" t="s">
        <v>74</v>
      </c>
      <c r="F83" s="63"/>
    </row>
    <row r="84" spans="1:6" ht="23.25" customHeight="1" x14ac:dyDescent="0.25">
      <c r="A84" s="1"/>
      <c r="B84" s="1"/>
      <c r="C84" s="55"/>
      <c r="D84" s="55"/>
      <c r="E84" s="54"/>
      <c r="F84" s="54"/>
    </row>
    <row r="85" spans="1:6" ht="24.75" customHeight="1" x14ac:dyDescent="0.35">
      <c r="C85" s="47" t="s">
        <v>35</v>
      </c>
      <c r="D85" s="10">
        <f>SUM(C64:D83)</f>
        <v>19381.829999999998</v>
      </c>
      <c r="E85" s="29"/>
    </row>
  </sheetData>
  <mergeCells count="69">
    <mergeCell ref="A83:B83"/>
    <mergeCell ref="C83:D83"/>
    <mergeCell ref="E83:F83"/>
    <mergeCell ref="A82:B82"/>
    <mergeCell ref="C78:D78"/>
    <mergeCell ref="C79:D79"/>
    <mergeCell ref="C80:D80"/>
    <mergeCell ref="C81:D81"/>
    <mergeCell ref="C82:D82"/>
    <mergeCell ref="A78:B78"/>
    <mergeCell ref="A79:B79"/>
    <mergeCell ref="A80:B80"/>
    <mergeCell ref="A81:B81"/>
    <mergeCell ref="E82:F82"/>
    <mergeCell ref="E78:F78"/>
    <mergeCell ref="E79:F79"/>
    <mergeCell ref="E72:F72"/>
    <mergeCell ref="A67:B67"/>
    <mergeCell ref="C67:D67"/>
    <mergeCell ref="A68:B68"/>
    <mergeCell ref="A69:B69"/>
    <mergeCell ref="C69:D69"/>
    <mergeCell ref="A72:B72"/>
    <mergeCell ref="C72:D72"/>
    <mergeCell ref="A70:B70"/>
    <mergeCell ref="C70:D70"/>
    <mergeCell ref="A71:B71"/>
    <mergeCell ref="E67:F67"/>
    <mergeCell ref="E68:F68"/>
    <mergeCell ref="C68:D68"/>
    <mergeCell ref="E69:F69"/>
    <mergeCell ref="C71:D71"/>
    <mergeCell ref="E71:F71"/>
    <mergeCell ref="E70:F70"/>
    <mergeCell ref="E65:F65"/>
    <mergeCell ref="I58:J58"/>
    <mergeCell ref="A64:B64"/>
    <mergeCell ref="C64:D64"/>
    <mergeCell ref="E64:F64"/>
    <mergeCell ref="G59:G60"/>
    <mergeCell ref="H59:H60"/>
    <mergeCell ref="A65:B65"/>
    <mergeCell ref="A66:B66"/>
    <mergeCell ref="C65:D65"/>
    <mergeCell ref="E66:F66"/>
    <mergeCell ref="C66:D66"/>
    <mergeCell ref="A1:F1"/>
    <mergeCell ref="A2:F2"/>
    <mergeCell ref="A61:F61"/>
    <mergeCell ref="A63:B63"/>
    <mergeCell ref="E63:F63"/>
    <mergeCell ref="C63:D63"/>
    <mergeCell ref="E74:F74"/>
    <mergeCell ref="A73:B73"/>
    <mergeCell ref="C73:D73"/>
    <mergeCell ref="E73:F73"/>
    <mergeCell ref="A74:B74"/>
    <mergeCell ref="C74:D74"/>
    <mergeCell ref="E80:F80"/>
    <mergeCell ref="E81:F81"/>
    <mergeCell ref="C75:D75"/>
    <mergeCell ref="A75:B75"/>
    <mergeCell ref="E75:F75"/>
    <mergeCell ref="E76:F76"/>
    <mergeCell ref="E77:F77"/>
    <mergeCell ref="A76:B76"/>
    <mergeCell ref="A77:B77"/>
    <mergeCell ref="C76:D76"/>
    <mergeCell ref="C77:D77"/>
  </mergeCells>
  <phoneticPr fontId="1" type="noConversion"/>
  <pageMargins left="0.7" right="0.7" top="0.75" bottom="0.75" header="0.3" footer="0.3"/>
  <pageSetup scale="72" orientation="portrait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7135-34F6-4660-A3BA-52AAEBDCC9F8}">
  <sheetPr codeName="Hoja3"/>
  <dimension ref="A1:I31"/>
  <sheetViews>
    <sheetView zoomScale="70" zoomScaleNormal="70" workbookViewId="0">
      <selection activeCell="E17" sqref="E17:F17"/>
    </sheetView>
  </sheetViews>
  <sheetFormatPr baseColWidth="10" defaultRowHeight="15.75" x14ac:dyDescent="0.25"/>
  <cols>
    <col min="1" max="1" width="11" customWidth="1"/>
    <col min="2" max="2" width="34.75" customWidth="1"/>
    <col min="4" max="4" width="15.875" customWidth="1"/>
    <col min="5" max="5" width="14" customWidth="1"/>
    <col min="6" max="6" width="20" customWidth="1"/>
    <col min="7" max="7" width="16.875" customWidth="1"/>
    <col min="8" max="8" width="17.75" customWidth="1"/>
    <col min="9" max="9" width="15.625" bestFit="1" customWidth="1"/>
  </cols>
  <sheetData>
    <row r="1" spans="1:8" ht="15.75" customHeight="1" x14ac:dyDescent="0.25">
      <c r="B1" s="98" t="s">
        <v>81</v>
      </c>
      <c r="C1" s="98"/>
      <c r="D1" s="98"/>
      <c r="E1" s="98"/>
      <c r="F1" s="98"/>
      <c r="G1" s="98"/>
    </row>
    <row r="2" spans="1:8" ht="15.75" customHeight="1" x14ac:dyDescent="0.25">
      <c r="B2" s="98"/>
      <c r="C2" s="98"/>
      <c r="D2" s="98"/>
      <c r="E2" s="98"/>
      <c r="F2" s="98"/>
      <c r="G2" s="98"/>
    </row>
    <row r="3" spans="1:8" ht="15.75" customHeight="1" x14ac:dyDescent="0.25">
      <c r="B3" s="98"/>
      <c r="C3" s="98"/>
      <c r="D3" s="98"/>
      <c r="E3" s="98"/>
      <c r="F3" s="98"/>
      <c r="G3" s="98"/>
    </row>
    <row r="4" spans="1:8" ht="70.5" customHeight="1" x14ac:dyDescent="0.25">
      <c r="B4" s="98"/>
      <c r="C4" s="98"/>
      <c r="D4" s="98"/>
      <c r="E4" s="98"/>
      <c r="F4" s="98"/>
      <c r="G4" s="98"/>
    </row>
    <row r="5" spans="1:8" ht="15.75" customHeight="1" x14ac:dyDescent="0.25">
      <c r="A5" s="97" t="s">
        <v>14</v>
      </c>
      <c r="B5" s="97"/>
      <c r="C5" s="97"/>
      <c r="D5" s="97"/>
      <c r="E5" s="97"/>
      <c r="F5" s="97"/>
      <c r="G5" s="97"/>
      <c r="H5" s="97"/>
    </row>
    <row r="6" spans="1:8" ht="35.25" customHeight="1" x14ac:dyDescent="0.25">
      <c r="A6" s="97"/>
      <c r="B6" s="97"/>
      <c r="C6" s="97"/>
      <c r="D6" s="97"/>
      <c r="E6" s="97"/>
      <c r="F6" s="97"/>
      <c r="G6" s="97"/>
      <c r="H6" s="97"/>
    </row>
    <row r="8" spans="1:8" ht="45" customHeight="1" x14ac:dyDescent="0.25">
      <c r="A8" s="99" t="s">
        <v>15</v>
      </c>
      <c r="B8" s="99"/>
      <c r="C8" s="99" t="s">
        <v>3</v>
      </c>
      <c r="D8" s="99"/>
      <c r="E8" s="99" t="s">
        <v>2</v>
      </c>
      <c r="F8" s="99"/>
      <c r="G8" s="33" t="s">
        <v>34</v>
      </c>
      <c r="H8" s="32" t="s">
        <v>3</v>
      </c>
    </row>
    <row r="9" spans="1:8" s="28" customFormat="1" ht="24" customHeight="1" x14ac:dyDescent="0.35">
      <c r="A9" s="88" t="str">
        <f>Hoja1!A64</f>
        <v>CAMION 26 SEMIMATE "N" 3,3</v>
      </c>
      <c r="B9" s="88"/>
      <c r="C9" s="100">
        <f>Hoja1!C64</f>
        <v>1793.3</v>
      </c>
      <c r="D9" s="100"/>
      <c r="E9" s="92" t="s">
        <v>36</v>
      </c>
      <c r="F9" s="90"/>
      <c r="G9" s="34"/>
      <c r="H9" s="31"/>
    </row>
    <row r="10" spans="1:8" ht="27" customHeight="1" x14ac:dyDescent="0.35">
      <c r="A10" s="88" t="s">
        <v>37</v>
      </c>
      <c r="B10" s="88"/>
      <c r="C10" s="93">
        <v>33.799999999999997</v>
      </c>
      <c r="D10" s="93"/>
      <c r="E10" s="90" t="s">
        <v>40</v>
      </c>
      <c r="F10" s="91"/>
      <c r="G10" s="34"/>
      <c r="H10" s="34"/>
    </row>
    <row r="11" spans="1:8" ht="27" customHeight="1" x14ac:dyDescent="0.35">
      <c r="A11" s="88" t="s">
        <v>38</v>
      </c>
      <c r="B11" s="88"/>
      <c r="C11" s="93">
        <v>22.91</v>
      </c>
      <c r="D11" s="93"/>
      <c r="E11" s="90" t="s">
        <v>39</v>
      </c>
      <c r="F11" s="91"/>
      <c r="G11" s="34"/>
      <c r="H11" s="34"/>
    </row>
    <row r="12" spans="1:8" ht="27" customHeight="1" x14ac:dyDescent="0.35">
      <c r="A12" s="88" t="s">
        <v>41</v>
      </c>
      <c r="B12" s="88"/>
      <c r="C12" s="93">
        <v>261.39</v>
      </c>
      <c r="D12" s="93"/>
      <c r="E12" s="92" t="s">
        <v>46</v>
      </c>
      <c r="F12" s="92"/>
      <c r="G12" s="34"/>
      <c r="H12" s="34"/>
    </row>
    <row r="13" spans="1:8" ht="27" customHeight="1" x14ac:dyDescent="0.35">
      <c r="A13" s="87" t="s">
        <v>47</v>
      </c>
      <c r="B13" s="87"/>
      <c r="C13" s="96">
        <v>110.89</v>
      </c>
      <c r="D13" s="96"/>
      <c r="E13" s="83" t="s">
        <v>49</v>
      </c>
      <c r="F13" s="83"/>
      <c r="G13" s="34"/>
      <c r="H13" s="34"/>
    </row>
    <row r="14" spans="1:8" ht="27" customHeight="1" x14ac:dyDescent="0.35">
      <c r="A14" s="87" t="s">
        <v>48</v>
      </c>
      <c r="B14" s="87"/>
      <c r="C14" s="96">
        <v>130.66</v>
      </c>
      <c r="D14" s="96"/>
      <c r="E14" s="83" t="s">
        <v>50</v>
      </c>
      <c r="F14" s="83"/>
      <c r="G14" s="34"/>
      <c r="H14" s="34"/>
    </row>
    <row r="15" spans="1:8" ht="27" customHeight="1" x14ac:dyDescent="0.35">
      <c r="A15" s="94" t="s">
        <v>56</v>
      </c>
      <c r="B15" s="95"/>
      <c r="C15" s="96">
        <v>3127.8</v>
      </c>
      <c r="D15" s="96"/>
      <c r="E15" s="83" t="s">
        <v>51</v>
      </c>
      <c r="F15" s="83"/>
      <c r="G15" s="34"/>
      <c r="H15" s="34"/>
    </row>
    <row r="16" spans="1:8" ht="27" customHeight="1" x14ac:dyDescent="0.25">
      <c r="A16" s="83" t="s">
        <v>53</v>
      </c>
      <c r="B16" s="83"/>
      <c r="C16" s="89">
        <v>166.77</v>
      </c>
      <c r="D16" s="89"/>
      <c r="E16" s="83" t="s">
        <v>50</v>
      </c>
      <c r="F16" s="83"/>
      <c r="G16" s="45"/>
      <c r="H16" s="45"/>
    </row>
    <row r="17" spans="1:9" ht="27" customHeight="1" x14ac:dyDescent="0.25">
      <c r="A17" s="83" t="s">
        <v>47</v>
      </c>
      <c r="B17" s="83"/>
      <c r="C17" s="89">
        <v>220.81</v>
      </c>
      <c r="D17" s="89"/>
      <c r="E17" s="83" t="s">
        <v>54</v>
      </c>
      <c r="F17" s="83"/>
      <c r="G17" s="45"/>
      <c r="H17" s="45"/>
    </row>
    <row r="18" spans="1:9" ht="27" customHeight="1" x14ac:dyDescent="0.35">
      <c r="A18" s="87" t="s">
        <v>55</v>
      </c>
      <c r="B18" s="87"/>
      <c r="C18" s="86">
        <v>403.1</v>
      </c>
      <c r="D18" s="86"/>
      <c r="E18" s="83" t="s">
        <v>77</v>
      </c>
      <c r="F18" s="83"/>
      <c r="G18" s="45"/>
      <c r="H18" s="45"/>
    </row>
    <row r="19" spans="1:9" ht="32.25" customHeight="1" x14ac:dyDescent="0.35">
      <c r="A19" s="87" t="s">
        <v>57</v>
      </c>
      <c r="B19" s="87"/>
      <c r="C19" s="86">
        <v>400.9</v>
      </c>
      <c r="D19" s="86"/>
      <c r="E19" s="87" t="s">
        <v>59</v>
      </c>
      <c r="F19" s="87"/>
      <c r="G19" s="45"/>
      <c r="H19" s="45"/>
      <c r="I19" s="28"/>
    </row>
    <row r="20" spans="1:9" ht="32.25" customHeight="1" x14ac:dyDescent="0.35">
      <c r="A20" s="88" t="s">
        <v>60</v>
      </c>
      <c r="B20" s="88"/>
      <c r="C20" s="86">
        <v>296.39999999999998</v>
      </c>
      <c r="D20" s="86"/>
      <c r="E20" s="87" t="s">
        <v>61</v>
      </c>
      <c r="F20" s="87"/>
      <c r="G20" s="45"/>
      <c r="H20" s="45"/>
      <c r="I20" s="28"/>
    </row>
    <row r="21" spans="1:9" ht="36" customHeight="1" x14ac:dyDescent="0.35">
      <c r="A21" s="88" t="s">
        <v>62</v>
      </c>
      <c r="B21" s="88"/>
      <c r="C21" s="86">
        <v>1554.5</v>
      </c>
      <c r="D21" s="86"/>
      <c r="E21" s="87" t="s">
        <v>63</v>
      </c>
      <c r="F21" s="87"/>
      <c r="G21" s="57"/>
      <c r="H21" s="57"/>
    </row>
    <row r="22" spans="1:9" ht="36" customHeight="1" x14ac:dyDescent="0.35">
      <c r="A22" s="88" t="s">
        <v>64</v>
      </c>
      <c r="B22" s="88"/>
      <c r="C22" s="86">
        <v>807.4</v>
      </c>
      <c r="D22" s="86"/>
      <c r="E22" s="87" t="s">
        <v>65</v>
      </c>
      <c r="F22" s="87"/>
      <c r="G22" s="45"/>
      <c r="H22" s="45"/>
    </row>
    <row r="23" spans="1:9" ht="36" customHeight="1" x14ac:dyDescent="0.25">
      <c r="A23" s="92" t="s">
        <v>66</v>
      </c>
      <c r="B23" s="92"/>
      <c r="C23" s="89">
        <v>1207.9000000000001</v>
      </c>
      <c r="D23" s="89"/>
      <c r="E23" s="83" t="s">
        <v>76</v>
      </c>
      <c r="F23" s="83"/>
      <c r="G23" s="45"/>
      <c r="H23" s="45"/>
    </row>
    <row r="24" spans="1:9" ht="36" customHeight="1" x14ac:dyDescent="0.25">
      <c r="A24" s="92" t="s">
        <v>68</v>
      </c>
      <c r="B24" s="92"/>
      <c r="C24" s="89">
        <v>1202.9000000000001</v>
      </c>
      <c r="D24" s="89"/>
      <c r="E24" s="83" t="s">
        <v>80</v>
      </c>
      <c r="F24" s="83"/>
      <c r="G24" s="45"/>
      <c r="H24" s="45"/>
    </row>
    <row r="25" spans="1:9" ht="36" customHeight="1" x14ac:dyDescent="0.25">
      <c r="A25" s="92" t="s">
        <v>67</v>
      </c>
      <c r="B25" s="92"/>
      <c r="C25" s="89">
        <v>1986.3</v>
      </c>
      <c r="D25" s="89"/>
      <c r="E25" s="83" t="s">
        <v>52</v>
      </c>
      <c r="F25" s="83"/>
      <c r="G25" s="45"/>
      <c r="H25" s="45"/>
    </row>
    <row r="26" spans="1:9" ht="36" customHeight="1" x14ac:dyDescent="0.25">
      <c r="A26" s="92" t="s">
        <v>69</v>
      </c>
      <c r="B26" s="92"/>
      <c r="C26" s="89">
        <v>672.8</v>
      </c>
      <c r="D26" s="89"/>
      <c r="E26" s="83" t="s">
        <v>70</v>
      </c>
      <c r="F26" s="83"/>
      <c r="G26" s="45"/>
      <c r="H26" s="45"/>
    </row>
    <row r="27" spans="1:9" ht="36" customHeight="1" x14ac:dyDescent="0.25">
      <c r="A27" s="92" t="s">
        <v>71</v>
      </c>
      <c r="B27" s="92"/>
      <c r="C27" s="89">
        <v>982.4</v>
      </c>
      <c r="D27" s="89"/>
      <c r="E27" s="83" t="s">
        <v>72</v>
      </c>
      <c r="F27" s="83"/>
      <c r="G27" s="45"/>
      <c r="H27" s="45"/>
    </row>
    <row r="28" spans="1:9" ht="36" customHeight="1" x14ac:dyDescent="0.35">
      <c r="A28" s="84" t="s">
        <v>73</v>
      </c>
      <c r="B28" s="85"/>
      <c r="C28" s="86">
        <v>3998.9</v>
      </c>
      <c r="D28" s="86"/>
      <c r="E28" s="87" t="s">
        <v>74</v>
      </c>
      <c r="F28" s="87"/>
      <c r="G28" s="45"/>
      <c r="H28" s="45"/>
    </row>
    <row r="29" spans="1:9" ht="36" customHeight="1" x14ac:dyDescent="0.35">
      <c r="A29" s="59"/>
      <c r="B29" s="59"/>
      <c r="C29" s="62"/>
      <c r="D29" s="62"/>
      <c r="E29" s="60"/>
      <c r="F29" s="60"/>
      <c r="G29" s="61"/>
      <c r="H29" s="61"/>
    </row>
    <row r="30" spans="1:9" ht="49.5" customHeight="1" x14ac:dyDescent="0.35">
      <c r="B30" s="48" t="s">
        <v>35</v>
      </c>
      <c r="C30" s="82">
        <f>SUM(C9:D28)</f>
        <v>19381.829999999998</v>
      </c>
      <c r="D30" s="82"/>
      <c r="E30" s="29"/>
      <c r="G30" s="58"/>
      <c r="H30" s="58"/>
    </row>
    <row r="31" spans="1:9" x14ac:dyDescent="0.25">
      <c r="D31" s="4"/>
    </row>
  </sheetData>
  <mergeCells count="66">
    <mergeCell ref="E16:F16"/>
    <mergeCell ref="C16:D16"/>
    <mergeCell ref="C19:D19"/>
    <mergeCell ref="C20:D20"/>
    <mergeCell ref="E20:F20"/>
    <mergeCell ref="A17:B17"/>
    <mergeCell ref="A20:B20"/>
    <mergeCell ref="A27:B27"/>
    <mergeCell ref="A23:B23"/>
    <mergeCell ref="A24:B24"/>
    <mergeCell ref="A25:B25"/>
    <mergeCell ref="A26:B26"/>
    <mergeCell ref="C23:D23"/>
    <mergeCell ref="C24:D24"/>
    <mergeCell ref="C25:D25"/>
    <mergeCell ref="C26:D26"/>
    <mergeCell ref="C27:D27"/>
    <mergeCell ref="E10:F10"/>
    <mergeCell ref="A9:B9"/>
    <mergeCell ref="C9:D9"/>
    <mergeCell ref="E9:F9"/>
    <mergeCell ref="A10:B10"/>
    <mergeCell ref="C10:D10"/>
    <mergeCell ref="A5:H6"/>
    <mergeCell ref="B1:G4"/>
    <mergeCell ref="A8:B8"/>
    <mergeCell ref="C8:D8"/>
    <mergeCell ref="E8:F8"/>
    <mergeCell ref="E13:F13"/>
    <mergeCell ref="E14:F14"/>
    <mergeCell ref="E15:F15"/>
    <mergeCell ref="A15:B15"/>
    <mergeCell ref="C15:D15"/>
    <mergeCell ref="A13:B13"/>
    <mergeCell ref="C13:D13"/>
    <mergeCell ref="A14:B14"/>
    <mergeCell ref="C14:D14"/>
    <mergeCell ref="E11:F11"/>
    <mergeCell ref="E12:F12"/>
    <mergeCell ref="A12:B12"/>
    <mergeCell ref="C12:D12"/>
    <mergeCell ref="A11:B11"/>
    <mergeCell ref="C11:D11"/>
    <mergeCell ref="A16:B16"/>
    <mergeCell ref="A19:B19"/>
    <mergeCell ref="E23:F23"/>
    <mergeCell ref="E24:F24"/>
    <mergeCell ref="E21:F21"/>
    <mergeCell ref="E22:F22"/>
    <mergeCell ref="A21:B21"/>
    <mergeCell ref="A22:B22"/>
    <mergeCell ref="C21:D21"/>
    <mergeCell ref="C22:D22"/>
    <mergeCell ref="E19:F19"/>
    <mergeCell ref="C17:D17"/>
    <mergeCell ref="E18:F18"/>
    <mergeCell ref="A18:B18"/>
    <mergeCell ref="C18:D18"/>
    <mergeCell ref="E17:F17"/>
    <mergeCell ref="C30:D30"/>
    <mergeCell ref="E25:F25"/>
    <mergeCell ref="E26:F26"/>
    <mergeCell ref="A28:B28"/>
    <mergeCell ref="C28:D28"/>
    <mergeCell ref="E28:F28"/>
    <mergeCell ref="E27:F27"/>
  </mergeCells>
  <phoneticPr fontId="1" type="noConversion"/>
  <pageMargins left="0.7" right="0.7" top="0.75" bottom="0.75" header="0.3" footer="0.3"/>
  <pageSetup scale="57" orientation="portrait" r:id="rId1"/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0C02-463B-41E8-96DA-0CDB52E84BF1}">
  <sheetPr codeName="Hoja2"/>
  <dimension ref="A1:J29"/>
  <sheetViews>
    <sheetView zoomScaleNormal="100" workbookViewId="0">
      <selection activeCell="F19" sqref="F19"/>
    </sheetView>
  </sheetViews>
  <sheetFormatPr baseColWidth="10" defaultRowHeight="15.75" x14ac:dyDescent="0.25"/>
  <cols>
    <col min="1" max="1" width="19" style="20" customWidth="1"/>
    <col min="2" max="2" width="13.875" customWidth="1"/>
    <col min="4" max="4" width="14.25" customWidth="1"/>
    <col min="6" max="6" width="12.75" bestFit="1" customWidth="1"/>
    <col min="8" max="8" width="2.125" customWidth="1"/>
  </cols>
  <sheetData>
    <row r="1" spans="1:9" x14ac:dyDescent="0.25">
      <c r="D1" s="101" t="s">
        <v>45</v>
      </c>
      <c r="E1" s="101"/>
      <c r="F1" s="101"/>
      <c r="G1" s="101"/>
    </row>
    <row r="2" spans="1:9" x14ac:dyDescent="0.25">
      <c r="D2" s="101"/>
      <c r="E2" s="101"/>
      <c r="F2" s="101"/>
      <c r="G2" s="101"/>
    </row>
    <row r="4" spans="1:9" ht="18.75" x14ac:dyDescent="0.3">
      <c r="A4" s="19" t="s">
        <v>28</v>
      </c>
      <c r="B4" s="3">
        <v>3600</v>
      </c>
    </row>
    <row r="5" spans="1:9" ht="18.75" x14ac:dyDescent="0.3">
      <c r="A5" s="19" t="s">
        <v>29</v>
      </c>
      <c r="B5" s="3">
        <v>29</v>
      </c>
    </row>
    <row r="6" spans="1:9" ht="19.5" thickBot="1" x14ac:dyDescent="0.35">
      <c r="A6" s="19" t="s">
        <v>22</v>
      </c>
      <c r="B6" s="3">
        <v>7.4999999999999997E-2</v>
      </c>
      <c r="E6" s="13" t="s">
        <v>23</v>
      </c>
      <c r="F6" s="13" t="s">
        <v>26</v>
      </c>
      <c r="G6" s="14" t="s">
        <v>24</v>
      </c>
      <c r="H6" s="13"/>
      <c r="I6" s="3"/>
    </row>
    <row r="7" spans="1:9" ht="18.75" x14ac:dyDescent="0.3">
      <c r="E7" s="13"/>
      <c r="F7" s="13"/>
      <c r="G7" s="13" t="s">
        <v>25</v>
      </c>
      <c r="H7" s="13"/>
      <c r="I7" s="3"/>
    </row>
    <row r="8" spans="1:9" ht="18.75" x14ac:dyDescent="0.3">
      <c r="A8" s="21" t="s">
        <v>30</v>
      </c>
      <c r="B8" s="23">
        <f>G18</f>
        <v>112864.86486486485</v>
      </c>
    </row>
    <row r="9" spans="1:9" ht="18.75" x14ac:dyDescent="0.3">
      <c r="A9" s="21"/>
      <c r="B9" s="22"/>
    </row>
    <row r="10" spans="1:9" ht="18.75" x14ac:dyDescent="0.3">
      <c r="A10" s="21" t="s">
        <v>31</v>
      </c>
      <c r="B10" s="26">
        <f>B4*B5</f>
        <v>104400</v>
      </c>
    </row>
    <row r="11" spans="1:9" ht="19.5" thickBot="1" x14ac:dyDescent="0.3">
      <c r="B11" s="4"/>
      <c r="D11" t="s">
        <v>21</v>
      </c>
      <c r="E11" s="13" t="s">
        <v>23</v>
      </c>
      <c r="F11" s="13" t="s">
        <v>26</v>
      </c>
      <c r="G11" s="103">
        <f>B10</f>
        <v>104400</v>
      </c>
      <c r="H11" s="103"/>
      <c r="I11" s="103"/>
    </row>
    <row r="12" spans="1:9" ht="18.75" x14ac:dyDescent="0.3">
      <c r="A12" s="24" t="s">
        <v>32</v>
      </c>
      <c r="B12" s="25">
        <f>B8/400</f>
        <v>282.16216216216213</v>
      </c>
      <c r="E12" s="3"/>
      <c r="F12" s="3"/>
      <c r="G12" s="16">
        <v>1</v>
      </c>
      <c r="H12" s="16" t="s">
        <v>27</v>
      </c>
      <c r="I12" s="43">
        <v>7.4999999999999997E-2</v>
      </c>
    </row>
    <row r="13" spans="1:9" x14ac:dyDescent="0.25">
      <c r="A13" s="24"/>
      <c r="B13" s="25"/>
      <c r="G13" s="17"/>
      <c r="H13" s="17"/>
      <c r="I13" s="17"/>
    </row>
    <row r="14" spans="1:9" x14ac:dyDescent="0.25">
      <c r="A14" s="24" t="s">
        <v>33</v>
      </c>
      <c r="B14" s="25">
        <f>B10/204</f>
        <v>511.76470588235293</v>
      </c>
      <c r="G14" s="17"/>
      <c r="H14" s="17"/>
      <c r="I14" s="17"/>
    </row>
    <row r="15" spans="1:9" ht="19.5" thickBot="1" x14ac:dyDescent="0.3">
      <c r="E15" s="13" t="s">
        <v>23</v>
      </c>
      <c r="F15" s="13" t="s">
        <v>26</v>
      </c>
      <c r="G15" s="103">
        <f>G11</f>
        <v>104400</v>
      </c>
      <c r="H15" s="103"/>
      <c r="I15" s="103"/>
    </row>
    <row r="16" spans="1:9" ht="18.75" x14ac:dyDescent="0.25">
      <c r="E16" s="13"/>
      <c r="F16" s="13"/>
      <c r="G16" s="104">
        <f>G12-I12</f>
        <v>0.92500000000000004</v>
      </c>
      <c r="H16" s="104"/>
      <c r="I16" s="104"/>
    </row>
    <row r="17" spans="2:10" ht="16.5" thickBot="1" x14ac:dyDescent="0.3">
      <c r="G17" s="17"/>
      <c r="H17" s="17"/>
      <c r="I17" s="17"/>
    </row>
    <row r="18" spans="2:10" ht="21.75" thickBot="1" x14ac:dyDescent="0.3">
      <c r="B18" s="108"/>
      <c r="C18" s="108"/>
      <c r="D18" s="108"/>
      <c r="E18" s="18" t="s">
        <v>23</v>
      </c>
      <c r="F18" s="18" t="s">
        <v>26</v>
      </c>
      <c r="G18" s="105">
        <f>G15/G16</f>
        <v>112864.86486486485</v>
      </c>
      <c r="H18" s="105"/>
      <c r="I18" s="106"/>
      <c r="J18" s="15"/>
    </row>
    <row r="21" spans="2:10" x14ac:dyDescent="0.25">
      <c r="F21" s="4">
        <f>G18-54989.6</f>
        <v>57875.264864864854</v>
      </c>
      <c r="G21" s="4">
        <f>F21/400</f>
        <v>144.68816216216214</v>
      </c>
    </row>
    <row r="23" spans="2:10" ht="29.25" customHeight="1" x14ac:dyDescent="0.25">
      <c r="C23" s="107" t="s">
        <v>42</v>
      </c>
      <c r="D23" s="107"/>
      <c r="E23" s="37"/>
      <c r="F23" s="39">
        <f>G18-58247.2</f>
        <v>54617.664864864855</v>
      </c>
    </row>
    <row r="24" spans="2:10" ht="29.25" customHeight="1" x14ac:dyDescent="0.25">
      <c r="C24" s="102" t="s">
        <v>43</v>
      </c>
      <c r="D24" s="102"/>
      <c r="E24" s="37"/>
      <c r="F24" s="38">
        <f>F23/400</f>
        <v>136.54416216216214</v>
      </c>
    </row>
    <row r="25" spans="2:10" ht="29.25" customHeight="1" x14ac:dyDescent="0.25">
      <c r="C25" s="102" t="s">
        <v>44</v>
      </c>
      <c r="D25" s="102"/>
      <c r="E25" s="37"/>
      <c r="F25" s="38" t="s">
        <v>21</v>
      </c>
    </row>
    <row r="29" spans="2:10" ht="18.75" x14ac:dyDescent="0.3">
      <c r="F29" s="40"/>
    </row>
  </sheetData>
  <mergeCells count="9">
    <mergeCell ref="D1:G2"/>
    <mergeCell ref="C24:D24"/>
    <mergeCell ref="C25:D25"/>
    <mergeCell ref="G11:I11"/>
    <mergeCell ref="G15:I15"/>
    <mergeCell ref="G16:I16"/>
    <mergeCell ref="G18:I18"/>
    <mergeCell ref="C23:D23"/>
    <mergeCell ref="B18:D18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STOCK DE FARDOS</vt:lpstr>
      <vt:lpstr>FORMULAS</vt:lpstr>
      <vt:lpstr>'STOCK DE FARDOS'!Área_de_impresión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</dc:creator>
  <cp:lastModifiedBy>ALMACEN</cp:lastModifiedBy>
  <cp:lastPrinted>2026-06-01T18:05:41Z</cp:lastPrinted>
  <dcterms:created xsi:type="dcterms:W3CDTF">2023-09-13T18:43:06Z</dcterms:created>
  <dcterms:modified xsi:type="dcterms:W3CDTF">2026-06-15T15:57:36Z</dcterms:modified>
</cp:coreProperties>
</file>