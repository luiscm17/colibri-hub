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69BBA90-2E66-4731-B819-966811C55623}" xr6:coauthVersionLast="47" xr6:coauthVersionMax="47" xr10:uidLastSave="{00000000-0000-0000-0000-000000000000}"/>
  <bookViews>
    <workbookView xWindow="-120" yWindow="-120" windowWidth="21840" windowHeight="13140" xr2:uid="{F37A6EBA-8555-4C25-9776-7BD01A8735EF}"/>
  </bookViews>
  <sheets>
    <sheet name="PRO. FINISOR DIA" sheetId="1" r:id="rId1"/>
    <sheet name="PROD. FINISOR TARDE" sheetId="2" r:id="rId2"/>
    <sheet name="PROD. FINISOR NOCH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7" i="2" l="1"/>
  <c r="G26" i="2"/>
  <c r="N13" i="1" l="1"/>
  <c r="N14" i="1"/>
  <c r="N15" i="1"/>
  <c r="N16" i="1"/>
  <c r="N17" i="1"/>
  <c r="N18" i="1"/>
  <c r="N19" i="1"/>
  <c r="G29" i="1" l="1"/>
  <c r="G28" i="1"/>
  <c r="G27" i="1"/>
  <c r="N25" i="3" l="1"/>
  <c r="N24" i="3"/>
  <c r="N23" i="3"/>
  <c r="N22" i="3"/>
  <c r="G22" i="3"/>
  <c r="N21" i="3"/>
  <c r="G21" i="3"/>
  <c r="N20" i="3"/>
  <c r="G20" i="3"/>
  <c r="N19" i="3"/>
  <c r="G19" i="3"/>
  <c r="N18" i="3"/>
  <c r="G18" i="3"/>
  <c r="N17" i="3"/>
  <c r="G17" i="3"/>
  <c r="N16" i="3"/>
  <c r="G16" i="3"/>
  <c r="N15" i="3"/>
  <c r="G15" i="3"/>
  <c r="N14" i="3"/>
  <c r="G14" i="3"/>
  <c r="N13" i="3"/>
  <c r="G13" i="3"/>
  <c r="N12" i="3"/>
  <c r="G12" i="3"/>
  <c r="N11" i="3"/>
  <c r="G11" i="3"/>
  <c r="N10" i="3"/>
  <c r="G10" i="3"/>
  <c r="N9" i="3"/>
  <c r="G9" i="3"/>
  <c r="N8" i="3"/>
  <c r="G8" i="3"/>
  <c r="N7" i="3"/>
  <c r="G7" i="3"/>
  <c r="N6" i="3"/>
  <c r="G6" i="3"/>
  <c r="N5" i="3"/>
  <c r="G5" i="3"/>
  <c r="G28" i="2"/>
  <c r="N25" i="2"/>
  <c r="N24" i="2"/>
  <c r="G23" i="2"/>
  <c r="N22" i="2"/>
  <c r="G22" i="2"/>
  <c r="N21" i="2"/>
  <c r="G21" i="2"/>
  <c r="N20" i="2"/>
  <c r="G20" i="2"/>
  <c r="N19" i="2"/>
  <c r="G19" i="2"/>
  <c r="N18" i="2"/>
  <c r="G18" i="2"/>
  <c r="N17" i="2"/>
  <c r="G17" i="2"/>
  <c r="N16" i="2"/>
  <c r="G16" i="2"/>
  <c r="N15" i="2"/>
  <c r="G15" i="2"/>
  <c r="N14" i="2"/>
  <c r="G14" i="2"/>
  <c r="N13" i="2"/>
  <c r="G13" i="2"/>
  <c r="N12" i="2"/>
  <c r="G12" i="2"/>
  <c r="N11" i="2"/>
  <c r="G11" i="2"/>
  <c r="N10" i="2"/>
  <c r="G10" i="2"/>
  <c r="N9" i="2"/>
  <c r="G9" i="2"/>
  <c r="N8" i="2"/>
  <c r="G8" i="2"/>
  <c r="N7" i="2"/>
  <c r="G7" i="2"/>
  <c r="N6" i="2"/>
  <c r="G6" i="2"/>
  <c r="N5" i="2"/>
  <c r="G5" i="2"/>
  <c r="N26" i="3" l="1"/>
  <c r="G29" i="3"/>
  <c r="N26" i="2"/>
  <c r="G29" i="2"/>
  <c r="I33" i="3" l="1"/>
  <c r="I33" i="2"/>
  <c r="G25" i="1" l="1"/>
  <c r="G26" i="1"/>
  <c r="G23" i="1"/>
  <c r="G24" i="1"/>
  <c r="N24" i="1"/>
  <c r="N23" i="1"/>
  <c r="N22" i="1"/>
  <c r="N21" i="1"/>
  <c r="N20" i="1"/>
  <c r="G22" i="1"/>
  <c r="G21" i="1"/>
  <c r="G20" i="1"/>
  <c r="G19" i="1"/>
  <c r="G17" i="1"/>
  <c r="G16" i="1"/>
  <c r="G18" i="1" l="1"/>
  <c r="G15" i="1"/>
  <c r="G14" i="1"/>
  <c r="G13" i="1"/>
  <c r="G12" i="1"/>
  <c r="G11" i="1"/>
  <c r="G10" i="1"/>
  <c r="G9" i="1"/>
  <c r="G8" i="1"/>
  <c r="G7" i="1"/>
  <c r="G6" i="1"/>
  <c r="G5" i="1"/>
  <c r="N25" i="1"/>
  <c r="N12" i="1"/>
  <c r="N11" i="1"/>
  <c r="N10" i="1"/>
  <c r="N9" i="1"/>
  <c r="N8" i="1"/>
  <c r="N7" i="1"/>
  <c r="N6" i="1"/>
  <c r="N5" i="1"/>
  <c r="N26" i="1" l="1"/>
  <c r="G30" i="1"/>
  <c r="I34" i="1" l="1"/>
</calcChain>
</file>

<file path=xl/sharedStrings.xml><?xml version="1.0" encoding="utf-8"?>
<sst xmlns="http://schemas.openxmlformats.org/spreadsheetml/2006/main" count="195" uniqueCount="19">
  <si>
    <t>FINISOR PLANTA A</t>
  </si>
  <si>
    <t>Peso Bruto</t>
  </si>
  <si>
    <t>Peso Tacho</t>
  </si>
  <si>
    <t>Peso Neto</t>
  </si>
  <si>
    <t>TIP. MAT</t>
  </si>
  <si>
    <t>HB</t>
  </si>
  <si>
    <t>FINISOR PLANTA B</t>
  </si>
  <si>
    <t>Num. Mechas</t>
  </si>
  <si>
    <t>peso cañete</t>
  </si>
  <si>
    <t>Peso Cañete</t>
  </si>
  <si>
    <t>TOTAL</t>
  </si>
  <si>
    <t>TOTAL KG.</t>
  </si>
  <si>
    <t>Numero p.</t>
  </si>
  <si>
    <t xml:space="preserve">     </t>
  </si>
  <si>
    <t xml:space="preserve"> </t>
  </si>
  <si>
    <t xml:space="preserve">  </t>
  </si>
  <si>
    <t>produccion 10/05/26 turno dia</t>
  </si>
  <si>
    <t xml:space="preserve">produccion 10/05/26 </t>
  </si>
  <si>
    <t>PRODUCCION 11/05/26 TURNO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</si>
</sst>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/>
    <xf numFmtId="0" fontId="0" fillId="2" borderId="9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1" fillId="6" borderId="13" xfId="0" applyFont="1" applyFill="1" applyBorder="1"/>
    <xf numFmtId="0" fontId="0" fillId="0" borderId="10" xfId="0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0" xfId="0" applyFont="1" applyFill="1" applyBorder="1"/>
    <xf numFmtId="0" fontId="0" fillId="0" borderId="20" xfId="0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B84B-7408-4BC1-B2D6-4FE05758C5B9}">
  <dimension ref="B1:N35"/>
  <sheetViews>
    <sheetView tabSelected="1" topLeftCell="A3" workbookViewId="0">
      <selection activeCell="D12" sqref="D12"/>
    </sheetView>
  </sheetViews>
  <sheetFormatPr baseColWidth="10" defaultRowHeight="15" x14ac:dyDescent="0.25"/>
  <cols>
    <col min="4" max="4" width="12.5703125" customWidth="1"/>
    <col min="10" max="10" width="12.7109375" customWidth="1"/>
    <col min="11" max="11" width="12.28515625" customWidth="1"/>
    <col min="12" max="12" width="12.85546875" customWidth="1"/>
  </cols>
  <sheetData>
    <row r="1" spans="2:14" ht="15.75" thickBot="1" x14ac:dyDescent="0.3"/>
    <row r="2" spans="2:14" ht="19.5" thickBot="1" x14ac:dyDescent="0.35">
      <c r="E2" s="21" t="s">
        <v>16</v>
      </c>
      <c r="F2" s="22"/>
      <c r="G2" s="22"/>
      <c r="H2" s="22"/>
      <c r="I2" s="22"/>
      <c r="J2" s="23"/>
    </row>
    <row r="3" spans="2:14" x14ac:dyDescent="0.25">
      <c r="B3" s="24" t="s">
        <v>0</v>
      </c>
      <c r="C3" s="25"/>
      <c r="D3" s="25"/>
      <c r="E3" s="26"/>
      <c r="F3" s="26"/>
      <c r="G3" s="27"/>
      <c r="I3" s="30" t="s">
        <v>6</v>
      </c>
      <c r="J3" s="31"/>
      <c r="K3" s="32"/>
      <c r="L3" s="32"/>
      <c r="M3" s="32"/>
      <c r="N3" s="33"/>
    </row>
    <row r="4" spans="2:14" x14ac:dyDescent="0.25">
      <c r="B4" s="4" t="s">
        <v>4</v>
      </c>
      <c r="C4" s="1" t="s">
        <v>1</v>
      </c>
      <c r="D4" s="1" t="s">
        <v>7</v>
      </c>
      <c r="E4" s="1" t="s">
        <v>8</v>
      </c>
      <c r="F4" s="1" t="s">
        <v>2</v>
      </c>
      <c r="G4" s="5" t="s">
        <v>3</v>
      </c>
      <c r="I4" s="4" t="s">
        <v>4</v>
      </c>
      <c r="J4" s="1" t="s">
        <v>1</v>
      </c>
      <c r="K4" s="1" t="s">
        <v>7</v>
      </c>
      <c r="L4" s="1" t="s">
        <v>9</v>
      </c>
      <c r="M4" s="1" t="s">
        <v>2</v>
      </c>
      <c r="N4" s="5" t="s">
        <v>3</v>
      </c>
    </row>
    <row r="5" spans="2:14" x14ac:dyDescent="0.25">
      <c r="B5" s="6" t="s">
        <v>5</v>
      </c>
      <c r="C5" s="2">
        <v>72.2</v>
      </c>
      <c r="D5" s="2">
        <v>14</v>
      </c>
      <c r="E5" s="2">
        <v>0.28499999999999998</v>
      </c>
      <c r="F5" s="2">
        <v>10.8</v>
      </c>
      <c r="G5" s="9">
        <f t="shared" ref="G5:G12" si="0">C5-((E5*D5)/1)-F5</f>
        <v>57.410000000000011</v>
      </c>
      <c r="I5" s="6" t="s">
        <v>5</v>
      </c>
      <c r="J5" s="3"/>
      <c r="K5" s="3"/>
      <c r="L5" s="3">
        <v>0.17199999999999999</v>
      </c>
      <c r="M5" s="3">
        <v>10.8</v>
      </c>
      <c r="N5" s="7">
        <f>J5-((L5*K5)/1)-M5</f>
        <v>-10.8</v>
      </c>
    </row>
    <row r="6" spans="2:14" x14ac:dyDescent="0.25">
      <c r="B6" s="6" t="s">
        <v>5</v>
      </c>
      <c r="C6" s="2"/>
      <c r="D6" s="2"/>
      <c r="E6" s="2">
        <v>0.28499999999999998</v>
      </c>
      <c r="F6" s="2">
        <v>10.8</v>
      </c>
      <c r="G6" s="9">
        <f t="shared" si="0"/>
        <v>-10.8</v>
      </c>
      <c r="I6" s="6" t="s">
        <v>5</v>
      </c>
      <c r="J6" s="3"/>
      <c r="K6" s="3"/>
      <c r="L6" s="3">
        <v>0.17199999999999999</v>
      </c>
      <c r="M6" s="3">
        <v>10.8</v>
      </c>
      <c r="N6" s="7">
        <f t="shared" ref="N6:N25" si="1">J6-((L6*K6)/1)-M6</f>
        <v>-10.8</v>
      </c>
    </row>
    <row r="7" spans="2:14" x14ac:dyDescent="0.25">
      <c r="B7" s="6" t="s">
        <v>5</v>
      </c>
      <c r="C7" s="2"/>
      <c r="D7" s="2"/>
      <c r="E7" s="2">
        <v>0.28499999999999998</v>
      </c>
      <c r="F7" s="2">
        <v>10.8</v>
      </c>
      <c r="G7" s="9">
        <f t="shared" si="0"/>
        <v>-10.8</v>
      </c>
      <c r="H7" t="s">
        <v>14</v>
      </c>
      <c r="I7" s="6" t="s">
        <v>5</v>
      </c>
      <c r="J7" s="3"/>
      <c r="K7" s="3"/>
      <c r="L7" s="3">
        <v>0.17199999999999999</v>
      </c>
      <c r="M7" s="3">
        <v>10.8</v>
      </c>
      <c r="N7" s="7">
        <f t="shared" si="1"/>
        <v>-10.8</v>
      </c>
    </row>
    <row r="8" spans="2:14" x14ac:dyDescent="0.25">
      <c r="B8" s="6" t="s">
        <v>5</v>
      </c>
      <c r="C8" s="2"/>
      <c r="D8" s="2"/>
      <c r="E8" s="2">
        <v>0.28499999999999998</v>
      </c>
      <c r="F8" s="2">
        <v>10.8</v>
      </c>
      <c r="G8" s="9">
        <f t="shared" si="0"/>
        <v>-10.8</v>
      </c>
      <c r="I8" s="6" t="s">
        <v>5</v>
      </c>
      <c r="J8" s="3"/>
      <c r="K8" s="3"/>
      <c r="L8" s="3">
        <v>0.17199999999999999</v>
      </c>
      <c r="M8" s="3">
        <v>10.8</v>
      </c>
      <c r="N8" s="7">
        <f t="shared" si="1"/>
        <v>-10.8</v>
      </c>
    </row>
    <row r="9" spans="2:14" x14ac:dyDescent="0.25">
      <c r="B9" s="6" t="s">
        <v>5</v>
      </c>
      <c r="C9" s="2"/>
      <c r="D9" s="2"/>
      <c r="E9" s="2">
        <v>0.28499999999999998</v>
      </c>
      <c r="F9" s="2">
        <v>10.8</v>
      </c>
      <c r="G9" s="9">
        <f t="shared" si="0"/>
        <v>-10.8</v>
      </c>
      <c r="I9" s="6" t="s">
        <v>5</v>
      </c>
      <c r="J9" s="3"/>
      <c r="K9" s="3"/>
      <c r="L9" s="3">
        <v>0.17199999999999999</v>
      </c>
      <c r="M9" s="3">
        <v>10.8</v>
      </c>
      <c r="N9" s="7">
        <f t="shared" si="1"/>
        <v>-10.8</v>
      </c>
    </row>
    <row r="10" spans="2:14" x14ac:dyDescent="0.25">
      <c r="B10" s="6" t="s">
        <v>5</v>
      </c>
      <c r="C10" s="2"/>
      <c r="D10" s="2"/>
      <c r="E10" s="2">
        <v>0.28499999999999998</v>
      </c>
      <c r="F10" s="2">
        <v>10.8</v>
      </c>
      <c r="G10" s="9">
        <f t="shared" si="0"/>
        <v>-10.8</v>
      </c>
      <c r="I10" s="6" t="s">
        <v>5</v>
      </c>
      <c r="J10" s="3"/>
      <c r="K10" s="3"/>
      <c r="L10" s="3">
        <v>0.17199999999999999</v>
      </c>
      <c r="M10" s="3">
        <v>10.8</v>
      </c>
      <c r="N10" s="7">
        <f t="shared" si="1"/>
        <v>-10.8</v>
      </c>
    </row>
    <row r="11" spans="2:14" x14ac:dyDescent="0.25">
      <c r="B11" s="6" t="s">
        <v>5</v>
      </c>
      <c r="C11" s="2"/>
      <c r="D11" s="2"/>
      <c r="E11" s="2">
        <v>0.28499999999999998</v>
      </c>
      <c r="F11" s="2">
        <v>10.8</v>
      </c>
      <c r="G11" s="9">
        <f t="shared" si="0"/>
        <v>-10.8</v>
      </c>
      <c r="I11" s="6" t="s">
        <v>5</v>
      </c>
      <c r="J11" s="3"/>
      <c r="K11" s="3"/>
      <c r="L11" s="3">
        <v>0.17199999999999999</v>
      </c>
      <c r="M11" s="3">
        <v>10.8</v>
      </c>
      <c r="N11" s="7">
        <f t="shared" si="1"/>
        <v>-10.8</v>
      </c>
    </row>
    <row r="12" spans="2:14" x14ac:dyDescent="0.25">
      <c r="B12" s="6" t="s">
        <v>5</v>
      </c>
      <c r="C12" s="2"/>
      <c r="D12" s="2"/>
      <c r="E12" s="2">
        <v>0.28499999999999998</v>
      </c>
      <c r="F12" s="2">
        <v>10.8</v>
      </c>
      <c r="G12" s="9">
        <f t="shared" si="0"/>
        <v>-10.8</v>
      </c>
      <c r="I12" s="6" t="s">
        <v>5</v>
      </c>
      <c r="J12" s="3"/>
      <c r="K12" s="3"/>
      <c r="L12" s="3">
        <v>0.17199999999999999</v>
      </c>
      <c r="M12" s="3">
        <v>10.8</v>
      </c>
      <c r="N12" s="7">
        <f t="shared" si="1"/>
        <v>-10.8</v>
      </c>
    </row>
    <row r="13" spans="2:14" x14ac:dyDescent="0.25">
      <c r="B13" s="6" t="s">
        <v>5</v>
      </c>
      <c r="C13" s="2"/>
      <c r="D13" s="2"/>
      <c r="E13" s="2">
        <v>0.28499999999999998</v>
      </c>
      <c r="F13" s="2">
        <v>10.8</v>
      </c>
      <c r="G13" s="9">
        <f t="shared" ref="G13:G19" si="2">C13-((E13*D13)/1)-F13</f>
        <v>-10.8</v>
      </c>
      <c r="I13" s="6" t="s">
        <v>5</v>
      </c>
      <c r="J13" s="3"/>
      <c r="K13" s="3"/>
      <c r="L13" s="3">
        <v>0.17199999999999999</v>
      </c>
      <c r="M13" s="3">
        <v>10.8</v>
      </c>
      <c r="N13" s="7">
        <f t="shared" si="1"/>
        <v>-10.8</v>
      </c>
    </row>
    <row r="14" spans="2:14" x14ac:dyDescent="0.25">
      <c r="B14" s="6" t="s">
        <v>5</v>
      </c>
      <c r="C14" s="2"/>
      <c r="D14" s="2"/>
      <c r="E14" s="2">
        <v>0.28499999999999998</v>
      </c>
      <c r="F14" s="2">
        <v>10.8</v>
      </c>
      <c r="G14" s="9">
        <f t="shared" si="2"/>
        <v>-10.8</v>
      </c>
      <c r="H14" t="s">
        <v>15</v>
      </c>
      <c r="I14" s="6" t="s">
        <v>5</v>
      </c>
      <c r="J14" s="3"/>
      <c r="K14" s="3"/>
      <c r="L14" s="3">
        <v>0.17199999999999999</v>
      </c>
      <c r="M14" s="3">
        <v>10.8</v>
      </c>
      <c r="N14" s="7">
        <f t="shared" si="1"/>
        <v>-10.8</v>
      </c>
    </row>
    <row r="15" spans="2:14" x14ac:dyDescent="0.25">
      <c r="B15" s="6" t="s">
        <v>5</v>
      </c>
      <c r="C15" s="2"/>
      <c r="D15" s="2"/>
      <c r="E15" s="2">
        <v>0.28499999999999998</v>
      </c>
      <c r="F15" s="2">
        <v>10.8</v>
      </c>
      <c r="G15" s="9">
        <f t="shared" si="2"/>
        <v>-10.8</v>
      </c>
      <c r="I15" s="6" t="s">
        <v>5</v>
      </c>
      <c r="J15" s="3"/>
      <c r="K15" s="3"/>
      <c r="L15" s="3">
        <v>0.17199999999999999</v>
      </c>
      <c r="M15" s="3">
        <v>10.8</v>
      </c>
      <c r="N15" s="7">
        <f t="shared" si="1"/>
        <v>-10.8</v>
      </c>
    </row>
    <row r="16" spans="2:14" x14ac:dyDescent="0.25">
      <c r="B16" s="6" t="s">
        <v>5</v>
      </c>
      <c r="C16" s="2"/>
      <c r="D16" s="2"/>
      <c r="E16" s="2">
        <v>0.28499999999999998</v>
      </c>
      <c r="F16" s="2">
        <v>10.8</v>
      </c>
      <c r="G16" s="9">
        <f t="shared" si="2"/>
        <v>-10.8</v>
      </c>
      <c r="I16" s="6" t="s">
        <v>5</v>
      </c>
      <c r="J16" s="3"/>
      <c r="K16" s="3"/>
      <c r="L16" s="3">
        <v>0.17199999999999999</v>
      </c>
      <c r="M16" s="3">
        <v>10.8</v>
      </c>
      <c r="N16" s="7">
        <f t="shared" si="1"/>
        <v>-10.8</v>
      </c>
    </row>
    <row r="17" spans="2:14" x14ac:dyDescent="0.25">
      <c r="B17" s="6" t="s">
        <v>5</v>
      </c>
      <c r="C17" s="2"/>
      <c r="D17" s="2"/>
      <c r="E17" s="2">
        <v>0.28499999999999998</v>
      </c>
      <c r="F17" s="2">
        <v>10.8</v>
      </c>
      <c r="G17" s="9">
        <f t="shared" si="2"/>
        <v>-10.8</v>
      </c>
      <c r="I17" s="6" t="s">
        <v>5</v>
      </c>
      <c r="J17" s="3"/>
      <c r="K17" s="3"/>
      <c r="L17" s="3">
        <v>0.17199999999999999</v>
      </c>
      <c r="M17" s="3"/>
      <c r="N17" s="7">
        <f t="shared" si="1"/>
        <v>0</v>
      </c>
    </row>
    <row r="18" spans="2:14" x14ac:dyDescent="0.25">
      <c r="B18" s="6" t="s">
        <v>5</v>
      </c>
      <c r="C18" s="2"/>
      <c r="D18" s="2"/>
      <c r="E18" s="2">
        <v>0.28499999999999998</v>
      </c>
      <c r="F18" s="2">
        <v>10.8</v>
      </c>
      <c r="G18" s="9">
        <f t="shared" si="2"/>
        <v>-10.8</v>
      </c>
      <c r="I18" s="6" t="s">
        <v>5</v>
      </c>
      <c r="J18" s="3"/>
      <c r="K18" s="3"/>
      <c r="L18" s="3">
        <v>0.17199999999999999</v>
      </c>
      <c r="M18" s="3"/>
      <c r="N18" s="7">
        <f t="shared" si="1"/>
        <v>0</v>
      </c>
    </row>
    <row r="19" spans="2:14" x14ac:dyDescent="0.25">
      <c r="B19" s="6" t="s">
        <v>5</v>
      </c>
      <c r="C19" s="2"/>
      <c r="D19" s="2"/>
      <c r="E19" s="2">
        <v>0.28499999999999998</v>
      </c>
      <c r="F19" s="2"/>
      <c r="G19" s="9">
        <f t="shared" si="2"/>
        <v>0</v>
      </c>
      <c r="I19" s="6" t="s">
        <v>5</v>
      </c>
      <c r="J19" s="3"/>
      <c r="K19" s="3"/>
      <c r="L19" s="3">
        <v>0.17199999999999999</v>
      </c>
      <c r="M19" s="3"/>
      <c r="N19" s="7">
        <f t="shared" si="1"/>
        <v>0</v>
      </c>
    </row>
    <row r="20" spans="2:14" x14ac:dyDescent="0.25">
      <c r="B20" s="6" t="s">
        <v>5</v>
      </c>
      <c r="C20" s="2"/>
      <c r="D20" s="2"/>
      <c r="E20" s="2">
        <v>0.28499999999999998</v>
      </c>
      <c r="F20" s="2"/>
      <c r="G20" s="9">
        <f t="shared" ref="G20:G24" si="3">C20-((E20*D20)/1)-F20</f>
        <v>0</v>
      </c>
      <c r="I20" s="6" t="s">
        <v>5</v>
      </c>
      <c r="J20" s="3"/>
      <c r="K20" s="3"/>
      <c r="L20" s="3">
        <v>0.17199999999999999</v>
      </c>
      <c r="M20" s="3"/>
      <c r="N20" s="7">
        <f t="shared" ref="N20:N24" si="4">J20-((L20*K20)/1)-M20</f>
        <v>0</v>
      </c>
    </row>
    <row r="21" spans="2:14" x14ac:dyDescent="0.25">
      <c r="B21" s="6" t="s">
        <v>5</v>
      </c>
      <c r="C21" s="2"/>
      <c r="D21" s="2"/>
      <c r="E21" s="2">
        <v>0.28499999999999998</v>
      </c>
      <c r="F21" s="2"/>
      <c r="G21" s="9">
        <f t="shared" si="3"/>
        <v>0</v>
      </c>
      <c r="I21" s="6" t="s">
        <v>5</v>
      </c>
      <c r="J21" s="3"/>
      <c r="K21" s="3"/>
      <c r="L21" s="3">
        <v>0.17199999999999999</v>
      </c>
      <c r="M21" s="3"/>
      <c r="N21" s="7">
        <f t="shared" si="4"/>
        <v>0</v>
      </c>
    </row>
    <row r="22" spans="2:14" x14ac:dyDescent="0.25">
      <c r="B22" s="6" t="s">
        <v>5</v>
      </c>
      <c r="C22" s="2"/>
      <c r="D22" s="2"/>
      <c r="E22" s="2">
        <v>0.28499999999999998</v>
      </c>
      <c r="F22" s="2"/>
      <c r="G22" s="9">
        <f t="shared" si="3"/>
        <v>0</v>
      </c>
      <c r="I22" s="6" t="s">
        <v>5</v>
      </c>
      <c r="J22" s="3"/>
      <c r="K22" s="3"/>
      <c r="L22" s="3">
        <v>0.17199999999999999</v>
      </c>
      <c r="M22" s="3"/>
      <c r="N22" s="7">
        <f t="shared" si="4"/>
        <v>0</v>
      </c>
    </row>
    <row r="23" spans="2:14" x14ac:dyDescent="0.25">
      <c r="B23" s="6" t="s">
        <v>5</v>
      </c>
      <c r="C23" s="2"/>
      <c r="D23" s="2"/>
      <c r="E23" s="2">
        <v>0.28499999999999998</v>
      </c>
      <c r="F23" s="2"/>
      <c r="G23" s="9">
        <f t="shared" si="3"/>
        <v>0</v>
      </c>
      <c r="I23" s="6" t="s">
        <v>5</v>
      </c>
      <c r="J23" s="3"/>
      <c r="K23" s="3"/>
      <c r="L23" s="3">
        <v>0.17199999999999999</v>
      </c>
      <c r="M23" s="3"/>
      <c r="N23" s="7">
        <f t="shared" si="4"/>
        <v>0</v>
      </c>
    </row>
    <row r="24" spans="2:14" x14ac:dyDescent="0.25">
      <c r="B24" s="6" t="s">
        <v>5</v>
      </c>
      <c r="C24" s="2"/>
      <c r="D24" s="2"/>
      <c r="E24" s="2">
        <v>0.28499999999999998</v>
      </c>
      <c r="F24" s="2"/>
      <c r="G24" s="9">
        <f t="shared" si="3"/>
        <v>0</v>
      </c>
      <c r="I24" s="6" t="s">
        <v>5</v>
      </c>
      <c r="J24" s="3"/>
      <c r="K24" s="3"/>
      <c r="L24" s="3">
        <v>0.17199999999999999</v>
      </c>
      <c r="M24" s="3"/>
      <c r="N24" s="7">
        <f t="shared" si="4"/>
        <v>0</v>
      </c>
    </row>
    <row r="25" spans="2:14" x14ac:dyDescent="0.25">
      <c r="B25" s="6" t="s">
        <v>5</v>
      </c>
      <c r="C25" s="2"/>
      <c r="D25" s="2"/>
      <c r="E25" s="2">
        <v>0.28499999999999998</v>
      </c>
      <c r="F25" s="2"/>
      <c r="G25" s="9">
        <f t="shared" ref="G25:G27" si="5">C25-((E25*D25)/1)-F25</f>
        <v>0</v>
      </c>
      <c r="I25" s="6" t="s">
        <v>5</v>
      </c>
      <c r="J25" s="3"/>
      <c r="K25" s="3"/>
      <c r="L25" s="3">
        <v>0.17199999999999999</v>
      </c>
      <c r="M25" s="3"/>
      <c r="N25" s="7">
        <f t="shared" si="1"/>
        <v>0</v>
      </c>
    </row>
    <row r="26" spans="2:14" ht="15.75" thickBot="1" x14ac:dyDescent="0.3">
      <c r="B26" s="6" t="s">
        <v>5</v>
      </c>
      <c r="C26" s="2"/>
      <c r="D26" s="2"/>
      <c r="E26" s="2">
        <v>0.28499999999999998</v>
      </c>
      <c r="F26" s="2"/>
      <c r="G26" s="9">
        <f t="shared" si="5"/>
        <v>0</v>
      </c>
      <c r="I26" s="28" t="s">
        <v>10</v>
      </c>
      <c r="J26" s="29"/>
      <c r="K26" s="29"/>
      <c r="L26" s="29"/>
      <c r="M26" s="29"/>
      <c r="N26" s="8">
        <f>SUM(N5:N25)</f>
        <v>-129.6</v>
      </c>
    </row>
    <row r="27" spans="2:14" x14ac:dyDescent="0.25">
      <c r="B27" s="6"/>
      <c r="C27" s="2"/>
      <c r="D27" s="2"/>
      <c r="E27" s="2"/>
      <c r="F27" s="2"/>
      <c r="G27" s="9">
        <f t="shared" si="5"/>
        <v>0</v>
      </c>
      <c r="I27" s="10"/>
      <c r="J27" s="10"/>
      <c r="K27" s="10"/>
      <c r="L27" s="10"/>
      <c r="M27" s="10"/>
      <c r="N27" s="11"/>
    </row>
    <row r="28" spans="2:14" x14ac:dyDescent="0.25">
      <c r="B28" s="6" t="s">
        <v>5</v>
      </c>
      <c r="C28" s="2"/>
      <c r="D28" s="2"/>
      <c r="E28" s="2"/>
      <c r="F28" s="2"/>
      <c r="G28" s="9">
        <f t="shared" ref="G28:G29" si="6">C28-((E28*D28)/1)-F28</f>
        <v>0</v>
      </c>
    </row>
    <row r="29" spans="2:14" x14ac:dyDescent="0.25">
      <c r="B29" s="6" t="s">
        <v>5</v>
      </c>
      <c r="C29" s="2"/>
      <c r="D29" s="2"/>
      <c r="E29" s="2"/>
      <c r="F29" s="2"/>
      <c r="G29" s="9">
        <f t="shared" si="6"/>
        <v>0</v>
      </c>
    </row>
    <row r="30" spans="2:14" ht="15.75" thickBot="1" x14ac:dyDescent="0.3">
      <c r="B30" s="28" t="s">
        <v>10</v>
      </c>
      <c r="C30" s="29"/>
      <c r="D30" s="29"/>
      <c r="E30" s="29"/>
      <c r="F30" s="29"/>
      <c r="G30" s="8">
        <f>SUM(G5:G29)</f>
        <v>-82.989999999999981</v>
      </c>
    </row>
    <row r="33" spans="7:10" ht="15.75" thickBot="1" x14ac:dyDescent="0.3"/>
    <row r="34" spans="7:10" x14ac:dyDescent="0.25">
      <c r="G34" s="13" t="s">
        <v>11</v>
      </c>
      <c r="H34" s="14"/>
      <c r="I34" s="17">
        <f>G30+N26</f>
        <v>-212.58999999999997</v>
      </c>
      <c r="J34" s="18"/>
    </row>
    <row r="35" spans="7:10" ht="15.75" thickBot="1" x14ac:dyDescent="0.3">
      <c r="G35" s="15"/>
      <c r="H35" s="16"/>
      <c r="I35" s="19"/>
      <c r="J35" s="20"/>
    </row>
  </sheetData>
  <mergeCells count="7">
    <mergeCell ref="G34:H35"/>
    <mergeCell ref="I34:J35"/>
    <mergeCell ref="E2:J2"/>
    <mergeCell ref="B3:G3"/>
    <mergeCell ref="B30:F30"/>
    <mergeCell ref="I3:N3"/>
    <mergeCell ref="I26:M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EE0D-CE7D-4E5D-9784-146CEC76A5FB}">
  <dimension ref="B1:N34"/>
  <sheetViews>
    <sheetView workbookViewId="0">
      <selection activeCell="O31" sqref="O31"/>
    </sheetView>
  </sheetViews>
  <sheetFormatPr baseColWidth="10" defaultRowHeight="15" x14ac:dyDescent="0.25"/>
  <cols>
    <col min="4" max="4" width="13.140625" customWidth="1"/>
    <col min="11" max="11" width="12.7109375" customWidth="1"/>
  </cols>
  <sheetData>
    <row r="1" spans="2:14" ht="15.75" thickBot="1" x14ac:dyDescent="0.3"/>
    <row r="2" spans="2:14" ht="15.75" thickBot="1" x14ac:dyDescent="0.3">
      <c r="E2" s="34" t="s">
        <v>18</v>
      </c>
      <c r="F2" s="35"/>
      <c r="G2" s="35"/>
      <c r="H2" s="35"/>
      <c r="I2" s="35"/>
      <c r="J2" s="36"/>
    </row>
    <row r="3" spans="2:14" x14ac:dyDescent="0.25">
      <c r="B3" s="24" t="s">
        <v>0</v>
      </c>
      <c r="C3" s="25"/>
      <c r="D3" s="25"/>
      <c r="E3" s="26"/>
      <c r="F3" s="26"/>
      <c r="G3" s="27"/>
      <c r="I3" s="30" t="s">
        <v>6</v>
      </c>
      <c r="J3" s="31"/>
      <c r="K3" s="32"/>
      <c r="L3" s="32"/>
      <c r="M3" s="32"/>
      <c r="N3" s="33"/>
    </row>
    <row r="4" spans="2:14" x14ac:dyDescent="0.25">
      <c r="B4" s="4" t="s">
        <v>4</v>
      </c>
      <c r="C4" s="1" t="s">
        <v>1</v>
      </c>
      <c r="D4" s="1" t="s">
        <v>7</v>
      </c>
      <c r="E4" s="1" t="s">
        <v>8</v>
      </c>
      <c r="F4" s="1" t="s">
        <v>2</v>
      </c>
      <c r="G4" s="5" t="s">
        <v>3</v>
      </c>
      <c r="I4" s="4" t="s">
        <v>4</v>
      </c>
      <c r="J4" s="1" t="s">
        <v>1</v>
      </c>
      <c r="K4" s="1" t="s">
        <v>7</v>
      </c>
      <c r="L4" s="1" t="s">
        <v>9</v>
      </c>
      <c r="M4" s="1" t="s">
        <v>2</v>
      </c>
      <c r="N4" s="5" t="s">
        <v>3</v>
      </c>
    </row>
    <row r="5" spans="2:14" x14ac:dyDescent="0.25">
      <c r="B5" s="6" t="s">
        <v>5</v>
      </c>
      <c r="C5" s="2"/>
      <c r="D5" s="2"/>
      <c r="E5" s="2">
        <v>0.28499999999999998</v>
      </c>
      <c r="F5" s="2">
        <v>10.8</v>
      </c>
      <c r="G5" s="9">
        <f t="shared" ref="G5:G28" si="0">C5-((E5*D5)/1)-F5</f>
        <v>-10.8</v>
      </c>
      <c r="I5" s="6" t="s">
        <v>5</v>
      </c>
      <c r="J5" s="3"/>
      <c r="K5" s="3"/>
      <c r="L5" s="3">
        <v>0.17199999999999999</v>
      </c>
      <c r="M5" s="3">
        <v>10.8</v>
      </c>
      <c r="N5" s="7">
        <f>J5-((L5*K5)/1)-M5</f>
        <v>-10.8</v>
      </c>
    </row>
    <row r="6" spans="2:14" x14ac:dyDescent="0.25">
      <c r="B6" s="6" t="s">
        <v>5</v>
      </c>
      <c r="C6" s="2"/>
      <c r="D6" s="2"/>
      <c r="E6" s="2">
        <v>0.28499999999999998</v>
      </c>
      <c r="F6" s="2">
        <v>10.8</v>
      </c>
      <c r="G6" s="9">
        <f t="shared" si="0"/>
        <v>-10.8</v>
      </c>
      <c r="I6" s="6" t="s">
        <v>5</v>
      </c>
      <c r="J6" s="3"/>
      <c r="K6" s="3"/>
      <c r="L6" s="3">
        <v>0.17199999999999999</v>
      </c>
      <c r="M6" s="3">
        <v>10.8</v>
      </c>
      <c r="N6" s="7">
        <f t="shared" ref="N6:N25" si="1">J6-((L6*K6)/1)-M6</f>
        <v>-10.8</v>
      </c>
    </row>
    <row r="7" spans="2:14" x14ac:dyDescent="0.25">
      <c r="B7" s="6" t="s">
        <v>5</v>
      </c>
      <c r="C7" s="2"/>
      <c r="D7" s="2"/>
      <c r="E7" s="2">
        <v>0.28499999999999998</v>
      </c>
      <c r="F7" s="2">
        <v>10.8</v>
      </c>
      <c r="G7" s="9">
        <f t="shared" si="0"/>
        <v>-10.8</v>
      </c>
      <c r="I7" s="6" t="s">
        <v>5</v>
      </c>
      <c r="J7" s="3"/>
      <c r="K7" s="3"/>
      <c r="L7" s="3">
        <v>0.17199999999999999</v>
      </c>
      <c r="M7" s="3">
        <v>10.8</v>
      </c>
      <c r="N7" s="7">
        <f t="shared" si="1"/>
        <v>-10.8</v>
      </c>
    </row>
    <row r="8" spans="2:14" x14ac:dyDescent="0.25">
      <c r="B8" s="6" t="s">
        <v>5</v>
      </c>
      <c r="C8" s="2"/>
      <c r="D8" s="2"/>
      <c r="E8" s="2">
        <v>0.28499999999999998</v>
      </c>
      <c r="F8" s="2">
        <v>10.8</v>
      </c>
      <c r="G8" s="9">
        <f t="shared" si="0"/>
        <v>-10.8</v>
      </c>
      <c r="I8" s="6" t="s">
        <v>5</v>
      </c>
      <c r="J8" s="3"/>
      <c r="K8" s="3"/>
      <c r="L8" s="3">
        <v>0.17199999999999999</v>
      </c>
      <c r="M8" s="3">
        <v>10.8</v>
      </c>
      <c r="N8" s="7">
        <f t="shared" si="1"/>
        <v>-10.8</v>
      </c>
    </row>
    <row r="9" spans="2:14" x14ac:dyDescent="0.25">
      <c r="B9" s="6" t="s">
        <v>5</v>
      </c>
      <c r="C9" s="2"/>
      <c r="D9" s="2"/>
      <c r="E9" s="2">
        <v>0.28499999999999998</v>
      </c>
      <c r="F9" s="2">
        <v>10.8</v>
      </c>
      <c r="G9" s="9">
        <f t="shared" si="0"/>
        <v>-10.8</v>
      </c>
      <c r="I9" s="6" t="s">
        <v>5</v>
      </c>
      <c r="J9" s="3"/>
      <c r="K9" s="3"/>
      <c r="L9" s="3">
        <v>0.17199999999999999</v>
      </c>
      <c r="M9" s="3">
        <v>10.8</v>
      </c>
      <c r="N9" s="7">
        <f t="shared" si="1"/>
        <v>-10.8</v>
      </c>
    </row>
    <row r="10" spans="2:14" x14ac:dyDescent="0.25">
      <c r="B10" s="6" t="s">
        <v>5</v>
      </c>
      <c r="C10" s="2"/>
      <c r="D10" s="2"/>
      <c r="E10" s="2">
        <v>0.28499999999999998</v>
      </c>
      <c r="F10" s="2">
        <v>10.8</v>
      </c>
      <c r="G10" s="9">
        <f t="shared" si="0"/>
        <v>-10.8</v>
      </c>
      <c r="I10" s="6" t="s">
        <v>5</v>
      </c>
      <c r="J10" s="3"/>
      <c r="K10" s="3"/>
      <c r="L10" s="3">
        <v>0.17199999999999999</v>
      </c>
      <c r="M10" s="3">
        <v>10.8</v>
      </c>
      <c r="N10" s="7">
        <f t="shared" si="1"/>
        <v>-10.8</v>
      </c>
    </row>
    <row r="11" spans="2:14" x14ac:dyDescent="0.25">
      <c r="B11" s="6" t="s">
        <v>5</v>
      </c>
      <c r="C11" s="2"/>
      <c r="D11" s="2"/>
      <c r="E11" s="2">
        <v>0.28499999999999998</v>
      </c>
      <c r="F11" s="2">
        <v>10.8</v>
      </c>
      <c r="G11" s="9">
        <f t="shared" si="0"/>
        <v>-10.8</v>
      </c>
      <c r="I11" s="6" t="s">
        <v>5</v>
      </c>
      <c r="J11" s="3"/>
      <c r="K11" s="3"/>
      <c r="L11" s="3">
        <v>0.17199999999999999</v>
      </c>
      <c r="M11" s="3">
        <v>10.8</v>
      </c>
      <c r="N11" s="7">
        <f t="shared" si="1"/>
        <v>-10.8</v>
      </c>
    </row>
    <row r="12" spans="2:14" x14ac:dyDescent="0.25">
      <c r="B12" s="6" t="s">
        <v>5</v>
      </c>
      <c r="C12" s="2"/>
      <c r="D12" s="2"/>
      <c r="E12" s="2">
        <v>0.28499999999999998</v>
      </c>
      <c r="F12" s="2">
        <v>10.8</v>
      </c>
      <c r="G12" s="9">
        <f t="shared" si="0"/>
        <v>-10.8</v>
      </c>
      <c r="I12" s="6" t="s">
        <v>5</v>
      </c>
      <c r="J12" s="3"/>
      <c r="K12" s="3"/>
      <c r="L12" s="3">
        <v>0.17199999999999999</v>
      </c>
      <c r="M12" s="3">
        <v>10.8</v>
      </c>
      <c r="N12" s="7">
        <f t="shared" si="1"/>
        <v>-10.8</v>
      </c>
    </row>
    <row r="13" spans="2:14" x14ac:dyDescent="0.25">
      <c r="B13" s="6" t="s">
        <v>5</v>
      </c>
      <c r="C13" s="2"/>
      <c r="D13" s="2"/>
      <c r="E13" s="2">
        <v>0.28499999999999998</v>
      </c>
      <c r="F13" s="2">
        <v>10.8</v>
      </c>
      <c r="G13" s="9">
        <f t="shared" si="0"/>
        <v>-10.8</v>
      </c>
      <c r="I13" s="6" t="s">
        <v>5</v>
      </c>
      <c r="J13" s="3"/>
      <c r="K13" s="3"/>
      <c r="L13" s="3">
        <v>0.17199999999999999</v>
      </c>
      <c r="M13" s="3">
        <v>10.8</v>
      </c>
      <c r="N13" s="7">
        <f t="shared" si="1"/>
        <v>-10.8</v>
      </c>
    </row>
    <row r="14" spans="2:14" x14ac:dyDescent="0.25">
      <c r="B14" s="6" t="s">
        <v>5</v>
      </c>
      <c r="C14" s="2"/>
      <c r="D14" s="2"/>
      <c r="E14" s="2">
        <v>0.28499999999999998</v>
      </c>
      <c r="F14" s="2">
        <v>10.8</v>
      </c>
      <c r="G14" s="9">
        <f t="shared" si="0"/>
        <v>-10.8</v>
      </c>
      <c r="I14" s="6" t="s">
        <v>5</v>
      </c>
      <c r="J14" s="3"/>
      <c r="K14" s="3"/>
      <c r="L14" s="3">
        <v>0.17199999999999999</v>
      </c>
      <c r="M14" s="3">
        <v>10.8</v>
      </c>
      <c r="N14" s="7">
        <f t="shared" si="1"/>
        <v>-10.8</v>
      </c>
    </row>
    <row r="15" spans="2:14" x14ac:dyDescent="0.25">
      <c r="B15" s="6" t="s">
        <v>5</v>
      </c>
      <c r="C15" s="2"/>
      <c r="D15" s="2"/>
      <c r="E15" s="2">
        <v>0.28499999999999998</v>
      </c>
      <c r="F15" s="2">
        <v>10.8</v>
      </c>
      <c r="G15" s="9">
        <f t="shared" si="0"/>
        <v>-10.8</v>
      </c>
      <c r="I15" s="6" t="s">
        <v>5</v>
      </c>
      <c r="J15" s="3"/>
      <c r="K15" s="3"/>
      <c r="L15" s="3">
        <v>0.17199999999999999</v>
      </c>
      <c r="M15" s="3">
        <v>10.8</v>
      </c>
      <c r="N15" s="7">
        <f t="shared" si="1"/>
        <v>-10.8</v>
      </c>
    </row>
    <row r="16" spans="2:14" x14ac:dyDescent="0.25">
      <c r="B16" s="6" t="s">
        <v>5</v>
      </c>
      <c r="C16" s="2"/>
      <c r="D16" s="2"/>
      <c r="E16" s="2">
        <v>0.28499999999999998</v>
      </c>
      <c r="F16" s="2">
        <v>10.8</v>
      </c>
      <c r="G16" s="9">
        <f t="shared" si="0"/>
        <v>-10.8</v>
      </c>
      <c r="I16" s="6" t="s">
        <v>5</v>
      </c>
      <c r="J16" s="3"/>
      <c r="K16" s="3"/>
      <c r="L16" s="3">
        <v>0.17199999999999999</v>
      </c>
      <c r="M16" s="3">
        <v>10.8</v>
      </c>
      <c r="N16" s="7">
        <f t="shared" si="1"/>
        <v>-10.8</v>
      </c>
    </row>
    <row r="17" spans="2:14" x14ac:dyDescent="0.25">
      <c r="B17" s="6" t="s">
        <v>5</v>
      </c>
      <c r="C17" s="2"/>
      <c r="D17" s="2"/>
      <c r="E17" s="2">
        <v>0.28499999999999998</v>
      </c>
      <c r="F17" s="2">
        <v>10.8</v>
      </c>
      <c r="G17" s="9">
        <f t="shared" si="0"/>
        <v>-10.8</v>
      </c>
      <c r="I17" s="6" t="s">
        <v>5</v>
      </c>
      <c r="J17" s="3"/>
      <c r="K17" s="3"/>
      <c r="L17" s="3">
        <v>0.17199999999999999</v>
      </c>
      <c r="M17" s="3">
        <v>10.8</v>
      </c>
      <c r="N17" s="7">
        <f t="shared" si="1"/>
        <v>-10.8</v>
      </c>
    </row>
    <row r="18" spans="2:14" x14ac:dyDescent="0.25">
      <c r="B18" s="6" t="s">
        <v>5</v>
      </c>
      <c r="C18" s="2"/>
      <c r="D18" s="2"/>
      <c r="E18" s="2">
        <v>0.28499999999999998</v>
      </c>
      <c r="F18" s="2">
        <v>10.8</v>
      </c>
      <c r="G18" s="9">
        <f t="shared" si="0"/>
        <v>-10.8</v>
      </c>
      <c r="I18" s="6" t="s">
        <v>5</v>
      </c>
      <c r="J18" s="3"/>
      <c r="K18" s="3"/>
      <c r="L18" s="3">
        <v>0.17199999999999999</v>
      </c>
      <c r="M18" s="3">
        <v>10.8</v>
      </c>
      <c r="N18" s="7">
        <f t="shared" si="1"/>
        <v>-10.8</v>
      </c>
    </row>
    <row r="19" spans="2:14" x14ac:dyDescent="0.25">
      <c r="B19" s="6" t="s">
        <v>5</v>
      </c>
      <c r="C19" s="2"/>
      <c r="D19" s="2"/>
      <c r="E19" s="2">
        <v>0.28499999999999998</v>
      </c>
      <c r="F19" s="2">
        <v>10.8</v>
      </c>
      <c r="G19" s="9">
        <f t="shared" si="0"/>
        <v>-10.8</v>
      </c>
      <c r="I19" s="6" t="s">
        <v>5</v>
      </c>
      <c r="J19" s="3"/>
      <c r="K19" s="3"/>
      <c r="L19" s="3">
        <v>0.17199999999999999</v>
      </c>
      <c r="M19" s="3">
        <v>10.8</v>
      </c>
      <c r="N19" s="7">
        <f t="shared" si="1"/>
        <v>-10.8</v>
      </c>
    </row>
    <row r="20" spans="2:14" x14ac:dyDescent="0.25">
      <c r="B20" s="6" t="s">
        <v>5</v>
      </c>
      <c r="C20" s="2"/>
      <c r="D20" s="2"/>
      <c r="E20" s="2">
        <v>0.28499999999999998</v>
      </c>
      <c r="F20" s="2">
        <v>10.8</v>
      </c>
      <c r="G20" s="9">
        <f t="shared" si="0"/>
        <v>-10.8</v>
      </c>
      <c r="I20" s="6" t="s">
        <v>5</v>
      </c>
      <c r="J20" s="3"/>
      <c r="K20" s="3"/>
      <c r="L20" s="3">
        <v>0.17199999999999999</v>
      </c>
      <c r="M20" s="3"/>
      <c r="N20" s="7">
        <f t="shared" si="1"/>
        <v>0</v>
      </c>
    </row>
    <row r="21" spans="2:14" x14ac:dyDescent="0.25">
      <c r="B21" s="6" t="s">
        <v>5</v>
      </c>
      <c r="C21" s="2"/>
      <c r="D21" s="2"/>
      <c r="E21" s="2">
        <v>0.28499999999999998</v>
      </c>
      <c r="F21" s="2">
        <v>10.8</v>
      </c>
      <c r="G21" s="9">
        <f t="shared" si="0"/>
        <v>-10.8</v>
      </c>
      <c r="I21" s="6" t="s">
        <v>5</v>
      </c>
      <c r="J21" s="3"/>
      <c r="K21" s="3"/>
      <c r="L21" s="3">
        <v>0.17199999999999999</v>
      </c>
      <c r="M21" s="3"/>
      <c r="N21" s="7">
        <f t="shared" si="1"/>
        <v>0</v>
      </c>
    </row>
    <row r="22" spans="2:14" x14ac:dyDescent="0.25">
      <c r="B22" s="6" t="s">
        <v>5</v>
      </c>
      <c r="C22" s="2"/>
      <c r="D22" s="2"/>
      <c r="E22" s="2">
        <v>0.28499999999999998</v>
      </c>
      <c r="F22" s="2">
        <v>10.8</v>
      </c>
      <c r="G22" s="9">
        <f t="shared" si="0"/>
        <v>-10.8</v>
      </c>
      <c r="I22" s="6" t="s">
        <v>5</v>
      </c>
      <c r="J22" s="3"/>
      <c r="K22" s="3"/>
      <c r="L22" s="3">
        <v>0.17199999999999999</v>
      </c>
      <c r="M22" s="3"/>
      <c r="N22" s="7">
        <f t="shared" si="1"/>
        <v>0</v>
      </c>
    </row>
    <row r="23" spans="2:14" x14ac:dyDescent="0.25">
      <c r="B23" s="6" t="s">
        <v>5</v>
      </c>
      <c r="C23" s="2"/>
      <c r="D23" s="2"/>
      <c r="E23" s="2">
        <v>0.28499999999999998</v>
      </c>
      <c r="F23" s="2">
        <v>10.8</v>
      </c>
      <c r="G23" s="9">
        <f t="shared" si="0"/>
        <v>-10.8</v>
      </c>
      <c r="I23" s="6" t="s">
        <v>5</v>
      </c>
      <c r="J23" s="3"/>
      <c r="K23" s="3" t="s">
        <v>13</v>
      </c>
      <c r="L23" s="3">
        <v>0.17199999999999999</v>
      </c>
      <c r="M23" s="3"/>
      <c r="N23" s="7">
        <v>0</v>
      </c>
    </row>
    <row r="24" spans="2:14" x14ac:dyDescent="0.25">
      <c r="B24" s="6" t="s">
        <v>5</v>
      </c>
      <c r="C24" s="12"/>
      <c r="D24" s="2"/>
      <c r="E24" s="2">
        <v>0.28499999999999998</v>
      </c>
      <c r="F24" s="2">
        <v>10.8</v>
      </c>
      <c r="G24" s="9">
        <f>C25-((E24*D24)/1)-F24</f>
        <v>-10.8</v>
      </c>
      <c r="I24" s="6" t="s">
        <v>5</v>
      </c>
      <c r="J24" s="3"/>
      <c r="K24" s="3"/>
      <c r="L24" s="3">
        <v>0.17199999999999999</v>
      </c>
      <c r="M24" s="3"/>
      <c r="N24" s="7">
        <f t="shared" si="1"/>
        <v>0</v>
      </c>
    </row>
    <row r="25" spans="2:14" x14ac:dyDescent="0.25">
      <c r="B25" s="6" t="s">
        <v>5</v>
      </c>
      <c r="C25" s="2"/>
      <c r="D25" s="2"/>
      <c r="E25" s="2"/>
      <c r="F25" s="2"/>
      <c r="G25" s="9"/>
      <c r="I25" s="6" t="s">
        <v>5</v>
      </c>
      <c r="J25" s="3"/>
      <c r="K25" s="3"/>
      <c r="L25" s="3">
        <v>0.17199999999999999</v>
      </c>
      <c r="M25" s="3"/>
      <c r="N25" s="7">
        <f t="shared" si="1"/>
        <v>0</v>
      </c>
    </row>
    <row r="26" spans="2:14" ht="15.75" thickBot="1" x14ac:dyDescent="0.3">
      <c r="B26" s="6" t="s">
        <v>5</v>
      </c>
      <c r="C26" s="2"/>
      <c r="D26" s="2"/>
      <c r="E26" s="2"/>
      <c r="F26" s="2"/>
      <c r="G26" s="9">
        <f t="shared" si="0"/>
        <v>0</v>
      </c>
      <c r="I26" s="28" t="s">
        <v>10</v>
      </c>
      <c r="J26" s="29"/>
      <c r="K26" s="29"/>
      <c r="L26" s="29"/>
      <c r="M26" s="29"/>
      <c r="N26" s="8">
        <f>SUM(N5:N25)</f>
        <v>-162.00000000000003</v>
      </c>
    </row>
    <row r="27" spans="2:14" x14ac:dyDescent="0.25">
      <c r="B27" s="6" t="s">
        <v>5</v>
      </c>
      <c r="C27" s="2"/>
      <c r="D27" s="2"/>
      <c r="E27" s="2"/>
      <c r="F27" s="2"/>
      <c r="G27" s="9">
        <f t="shared" si="0"/>
        <v>0</v>
      </c>
    </row>
    <row r="28" spans="2:14" x14ac:dyDescent="0.25">
      <c r="B28" s="6" t="s">
        <v>5</v>
      </c>
      <c r="C28" s="2"/>
      <c r="D28" s="2"/>
      <c r="E28" s="2"/>
      <c r="F28" s="2"/>
      <c r="G28" s="9">
        <f t="shared" si="0"/>
        <v>0</v>
      </c>
    </row>
    <row r="29" spans="2:14" ht="15.75" thickBot="1" x14ac:dyDescent="0.3">
      <c r="B29" s="28" t="s">
        <v>10</v>
      </c>
      <c r="C29" s="29"/>
      <c r="D29" s="29"/>
      <c r="E29" s="29"/>
      <c r="F29" s="29"/>
      <c r="G29" s="8">
        <f>SUM(G5:G28)</f>
        <v>-216.00000000000009</v>
      </c>
    </row>
    <row r="32" spans="2:14" ht="15.75" thickBot="1" x14ac:dyDescent="0.3"/>
    <row r="33" spans="7:10" x14ac:dyDescent="0.25">
      <c r="G33" s="13" t="s">
        <v>11</v>
      </c>
      <c r="H33" s="14"/>
      <c r="I33" s="17">
        <f>G29+N26</f>
        <v>-378.00000000000011</v>
      </c>
      <c r="J33" s="18"/>
    </row>
    <row r="34" spans="7:10" ht="15.75" thickBot="1" x14ac:dyDescent="0.3">
      <c r="G34" s="15"/>
      <c r="H34" s="16"/>
      <c r="I34" s="19"/>
      <c r="J34" s="20"/>
    </row>
  </sheetData>
  <mergeCells count="7">
    <mergeCell ref="G33:H34"/>
    <mergeCell ref="I33:J34"/>
    <mergeCell ref="E2:J2"/>
    <mergeCell ref="B3:G3"/>
    <mergeCell ref="I3:N3"/>
    <mergeCell ref="I26:M26"/>
    <mergeCell ref="B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E128-73AF-4D89-8205-861A6AF87F37}">
  <dimension ref="A1:N34"/>
  <sheetViews>
    <sheetView workbookViewId="0">
      <selection activeCell="J5" sqref="J5:K17"/>
    </sheetView>
  </sheetViews>
  <sheetFormatPr baseColWidth="10" defaultRowHeight="15" x14ac:dyDescent="0.25"/>
  <cols>
    <col min="4" max="4" width="13" customWidth="1"/>
    <col min="11" max="11" width="13" customWidth="1"/>
    <col min="12" max="12" width="12.7109375" customWidth="1"/>
  </cols>
  <sheetData>
    <row r="1" spans="1:14" ht="15.75" thickBot="1" x14ac:dyDescent="0.3"/>
    <row r="2" spans="1:14" ht="21.75" thickBot="1" x14ac:dyDescent="0.3">
      <c r="E2" s="41" t="s">
        <v>17</v>
      </c>
      <c r="F2" s="42"/>
      <c r="G2" s="42"/>
      <c r="H2" s="42"/>
      <c r="I2" s="42"/>
      <c r="J2" s="43"/>
    </row>
    <row r="3" spans="1:14" x14ac:dyDescent="0.25">
      <c r="B3" s="24" t="s">
        <v>0</v>
      </c>
      <c r="C3" s="25"/>
      <c r="D3" s="25"/>
      <c r="E3" s="26"/>
      <c r="F3" s="26"/>
      <c r="G3" s="27"/>
      <c r="I3" s="30" t="s">
        <v>6</v>
      </c>
      <c r="J3" s="31"/>
      <c r="K3" s="32"/>
      <c r="L3" s="32"/>
      <c r="M3" s="32"/>
      <c r="N3" s="33"/>
    </row>
    <row r="4" spans="1:14" x14ac:dyDescent="0.25">
      <c r="A4" s="1" t="s">
        <v>12</v>
      </c>
      <c r="B4" s="4" t="s">
        <v>4</v>
      </c>
      <c r="C4" s="1" t="s">
        <v>1</v>
      </c>
      <c r="D4" s="1" t="s">
        <v>7</v>
      </c>
      <c r="E4" s="1" t="s">
        <v>8</v>
      </c>
      <c r="F4" s="1" t="s">
        <v>2</v>
      </c>
      <c r="G4" s="5" t="s">
        <v>3</v>
      </c>
      <c r="I4" s="4" t="s">
        <v>4</v>
      </c>
      <c r="J4" s="1" t="s">
        <v>1</v>
      </c>
      <c r="K4" s="1" t="s">
        <v>7</v>
      </c>
      <c r="L4" s="1" t="s">
        <v>9</v>
      </c>
      <c r="M4" s="1" t="s">
        <v>2</v>
      </c>
      <c r="N4" s="5" t="s">
        <v>3</v>
      </c>
    </row>
    <row r="5" spans="1:14" x14ac:dyDescent="0.25">
      <c r="A5" s="2">
        <v>1</v>
      </c>
      <c r="B5" s="6" t="s">
        <v>5</v>
      </c>
      <c r="C5" s="2"/>
      <c r="D5" s="2"/>
      <c r="E5" s="2">
        <v>0.28499999999999998</v>
      </c>
      <c r="F5" s="2">
        <v>10.8</v>
      </c>
      <c r="G5" s="9">
        <f t="shared" ref="G5:G22" si="0">C5-((E5*D5)/1)-F5</f>
        <v>-10.8</v>
      </c>
      <c r="I5" s="6" t="s">
        <v>5</v>
      </c>
      <c r="J5" s="3"/>
      <c r="K5" s="3"/>
      <c r="L5" s="3">
        <v>0.17199999999999999</v>
      </c>
      <c r="M5" s="3">
        <v>10.8</v>
      </c>
      <c r="N5" s="7">
        <f>J5-((L5*K5)/1)-M5</f>
        <v>-10.8</v>
      </c>
    </row>
    <row r="6" spans="1:14" x14ac:dyDescent="0.25">
      <c r="A6" s="2">
        <v>2</v>
      </c>
      <c r="B6" s="6" t="s">
        <v>5</v>
      </c>
      <c r="C6" s="2"/>
      <c r="D6" s="2"/>
      <c r="E6" s="2">
        <v>0.28499999999999998</v>
      </c>
      <c r="F6" s="2">
        <v>10.8</v>
      </c>
      <c r="G6" s="9">
        <f t="shared" si="0"/>
        <v>-10.8</v>
      </c>
      <c r="I6" s="6" t="s">
        <v>5</v>
      </c>
      <c r="J6" s="3"/>
      <c r="K6" s="3"/>
      <c r="L6" s="3">
        <v>0.17199999999999999</v>
      </c>
      <c r="M6" s="3">
        <v>10.8</v>
      </c>
      <c r="N6" s="7">
        <f t="shared" ref="N6:N25" si="1">J6-((L6*K6)/1)-M6</f>
        <v>-10.8</v>
      </c>
    </row>
    <row r="7" spans="1:14" x14ac:dyDescent="0.25">
      <c r="A7" s="2">
        <v>3</v>
      </c>
      <c r="B7" s="6" t="s">
        <v>5</v>
      </c>
      <c r="C7" s="2"/>
      <c r="D7" s="2"/>
      <c r="E7" s="2">
        <v>0.28499999999999998</v>
      </c>
      <c r="F7" s="2">
        <v>10.8</v>
      </c>
      <c r="G7" s="9">
        <f t="shared" si="0"/>
        <v>-10.8</v>
      </c>
      <c r="I7" s="6" t="s">
        <v>5</v>
      </c>
      <c r="J7" s="3"/>
      <c r="K7" s="3"/>
      <c r="L7" s="3">
        <v>0.17199999999999999</v>
      </c>
      <c r="M7" s="3">
        <v>10.8</v>
      </c>
      <c r="N7" s="7">
        <f t="shared" si="1"/>
        <v>-10.8</v>
      </c>
    </row>
    <row r="8" spans="1:14" x14ac:dyDescent="0.25">
      <c r="A8" s="2">
        <v>4</v>
      </c>
      <c r="B8" s="6" t="s">
        <v>5</v>
      </c>
      <c r="C8" s="2"/>
      <c r="D8" s="2"/>
      <c r="E8" s="2">
        <v>0.28499999999999998</v>
      </c>
      <c r="F8" s="2">
        <v>10.8</v>
      </c>
      <c r="G8" s="9">
        <f t="shared" si="0"/>
        <v>-10.8</v>
      </c>
      <c r="I8" s="6" t="s">
        <v>5</v>
      </c>
      <c r="J8" s="3"/>
      <c r="K8" s="3"/>
      <c r="L8" s="3">
        <v>0.17199999999999999</v>
      </c>
      <c r="M8" s="3">
        <v>10.8</v>
      </c>
      <c r="N8" s="7">
        <f t="shared" si="1"/>
        <v>-10.8</v>
      </c>
    </row>
    <row r="9" spans="1:14" x14ac:dyDescent="0.25">
      <c r="A9" s="2">
        <v>5</v>
      </c>
      <c r="B9" s="6" t="s">
        <v>5</v>
      </c>
      <c r="C9" s="2"/>
      <c r="D9" s="2"/>
      <c r="E9" s="2">
        <v>0.28499999999999998</v>
      </c>
      <c r="F9" s="2">
        <v>10.8</v>
      </c>
      <c r="G9" s="9">
        <f t="shared" si="0"/>
        <v>-10.8</v>
      </c>
      <c r="I9" s="6" t="s">
        <v>5</v>
      </c>
      <c r="J9" s="3"/>
      <c r="K9" s="3"/>
      <c r="L9" s="3">
        <v>0.17199999999999999</v>
      </c>
      <c r="M9" s="3">
        <v>10.8</v>
      </c>
      <c r="N9" s="7">
        <f t="shared" si="1"/>
        <v>-10.8</v>
      </c>
    </row>
    <row r="10" spans="1:14" x14ac:dyDescent="0.25">
      <c r="A10" s="2">
        <v>6</v>
      </c>
      <c r="B10" s="6" t="s">
        <v>5</v>
      </c>
      <c r="C10" s="2"/>
      <c r="D10" s="2"/>
      <c r="E10" s="2">
        <v>0.28499999999999998</v>
      </c>
      <c r="F10" s="2">
        <v>10.8</v>
      </c>
      <c r="G10" s="9">
        <f t="shared" si="0"/>
        <v>-10.8</v>
      </c>
      <c r="I10" s="6" t="s">
        <v>5</v>
      </c>
      <c r="J10" s="3"/>
      <c r="K10" s="3"/>
      <c r="L10" s="3">
        <v>0.17199999999999999</v>
      </c>
      <c r="M10" s="3">
        <v>10.8</v>
      </c>
      <c r="N10" s="7">
        <f t="shared" si="1"/>
        <v>-10.8</v>
      </c>
    </row>
    <row r="11" spans="1:14" x14ac:dyDescent="0.25">
      <c r="A11" s="2">
        <v>7</v>
      </c>
      <c r="B11" s="6" t="s">
        <v>5</v>
      </c>
      <c r="C11" s="2"/>
      <c r="D11" s="2"/>
      <c r="E11" s="2">
        <v>0.28499999999999998</v>
      </c>
      <c r="F11" s="2">
        <v>10.8</v>
      </c>
      <c r="G11" s="9">
        <f t="shared" si="0"/>
        <v>-10.8</v>
      </c>
      <c r="I11" s="6" t="s">
        <v>5</v>
      </c>
      <c r="J11" s="3"/>
      <c r="K11" s="3"/>
      <c r="L11" s="3">
        <v>0.17199999999999999</v>
      </c>
      <c r="M11" s="3">
        <v>10.8</v>
      </c>
      <c r="N11" s="7">
        <f t="shared" si="1"/>
        <v>-10.8</v>
      </c>
    </row>
    <row r="12" spans="1:14" x14ac:dyDescent="0.25">
      <c r="A12" s="2">
        <v>8</v>
      </c>
      <c r="B12" s="6" t="s">
        <v>5</v>
      </c>
      <c r="C12" s="2"/>
      <c r="D12" s="2"/>
      <c r="E12" s="2">
        <v>0.28499999999999998</v>
      </c>
      <c r="F12" s="2">
        <v>10.8</v>
      </c>
      <c r="G12" s="9">
        <f t="shared" si="0"/>
        <v>-10.8</v>
      </c>
      <c r="I12" s="6" t="s">
        <v>5</v>
      </c>
      <c r="J12" s="3"/>
      <c r="K12" s="3"/>
      <c r="L12" s="3">
        <v>0.17199999999999999</v>
      </c>
      <c r="M12" s="3">
        <v>10.8</v>
      </c>
      <c r="N12" s="7">
        <f t="shared" si="1"/>
        <v>-10.8</v>
      </c>
    </row>
    <row r="13" spans="1:14" x14ac:dyDescent="0.25">
      <c r="A13" s="2">
        <v>9</v>
      </c>
      <c r="B13" s="6" t="s">
        <v>5</v>
      </c>
      <c r="C13" s="2"/>
      <c r="D13" s="2"/>
      <c r="E13" s="2">
        <v>0.28499999999999998</v>
      </c>
      <c r="F13" s="2">
        <v>10.8</v>
      </c>
      <c r="G13" s="9">
        <f t="shared" si="0"/>
        <v>-10.8</v>
      </c>
      <c r="I13" s="6" t="s">
        <v>5</v>
      </c>
      <c r="J13" s="3"/>
      <c r="K13" s="3"/>
      <c r="L13" s="3">
        <v>0.17199999999999999</v>
      </c>
      <c r="M13" s="3">
        <v>10.8</v>
      </c>
      <c r="N13" s="7">
        <f t="shared" si="1"/>
        <v>-10.8</v>
      </c>
    </row>
    <row r="14" spans="1:14" x14ac:dyDescent="0.25">
      <c r="A14" s="2">
        <v>10</v>
      </c>
      <c r="B14" s="6" t="s">
        <v>5</v>
      </c>
      <c r="C14" s="2"/>
      <c r="D14" s="2"/>
      <c r="E14" s="2">
        <v>0.28499999999999998</v>
      </c>
      <c r="F14" s="2">
        <v>10.8</v>
      </c>
      <c r="G14" s="9">
        <f t="shared" si="0"/>
        <v>-10.8</v>
      </c>
      <c r="I14" s="6" t="s">
        <v>5</v>
      </c>
      <c r="J14" s="3"/>
      <c r="K14" s="3"/>
      <c r="L14" s="3">
        <v>0.17199999999999999</v>
      </c>
      <c r="M14" s="3">
        <v>10.8</v>
      </c>
      <c r="N14" s="7">
        <f t="shared" si="1"/>
        <v>-10.8</v>
      </c>
    </row>
    <row r="15" spans="1:14" x14ac:dyDescent="0.25">
      <c r="A15" s="2">
        <v>11</v>
      </c>
      <c r="B15" s="6" t="s">
        <v>5</v>
      </c>
      <c r="C15" s="2"/>
      <c r="D15" s="2"/>
      <c r="E15" s="2">
        <v>0.28499999999999998</v>
      </c>
      <c r="F15" s="2">
        <v>10.8</v>
      </c>
      <c r="G15" s="9">
        <f t="shared" si="0"/>
        <v>-10.8</v>
      </c>
      <c r="I15" s="6" t="s">
        <v>5</v>
      </c>
      <c r="J15" s="3"/>
      <c r="K15" s="3"/>
      <c r="L15" s="3">
        <v>0.17199999999999999</v>
      </c>
      <c r="M15" s="3">
        <v>10.8</v>
      </c>
      <c r="N15" s="7">
        <f t="shared" si="1"/>
        <v>-10.8</v>
      </c>
    </row>
    <row r="16" spans="1:14" x14ac:dyDescent="0.25">
      <c r="A16" s="2">
        <v>12</v>
      </c>
      <c r="B16" s="6" t="s">
        <v>5</v>
      </c>
      <c r="C16" s="2"/>
      <c r="D16" s="2"/>
      <c r="E16" s="2">
        <v>0.28499999999999998</v>
      </c>
      <c r="F16" s="2">
        <v>10.8</v>
      </c>
      <c r="G16" s="9">
        <f t="shared" si="0"/>
        <v>-10.8</v>
      </c>
      <c r="I16" s="6" t="s">
        <v>5</v>
      </c>
      <c r="J16" s="3"/>
      <c r="K16" s="3"/>
      <c r="L16" s="3">
        <v>0.17199999999999999</v>
      </c>
      <c r="M16" s="3">
        <v>10.8</v>
      </c>
      <c r="N16" s="7">
        <f t="shared" si="1"/>
        <v>-10.8</v>
      </c>
    </row>
    <row r="17" spans="1:14" x14ac:dyDescent="0.25">
      <c r="A17" s="2">
        <v>13</v>
      </c>
      <c r="B17" s="6" t="s">
        <v>5</v>
      </c>
      <c r="C17" s="2"/>
      <c r="D17" s="2"/>
      <c r="E17" s="2">
        <v>0.28499999999999998</v>
      </c>
      <c r="F17" s="2">
        <v>10.8</v>
      </c>
      <c r="G17" s="9">
        <f t="shared" si="0"/>
        <v>-10.8</v>
      </c>
      <c r="I17" s="6" t="s">
        <v>5</v>
      </c>
      <c r="J17" s="3"/>
      <c r="K17" s="3"/>
      <c r="L17" s="3">
        <v>0.17199999999999999</v>
      </c>
      <c r="M17" s="3">
        <v>10.8</v>
      </c>
      <c r="N17" s="7">
        <f t="shared" si="1"/>
        <v>-10.8</v>
      </c>
    </row>
    <row r="18" spans="1:14" x14ac:dyDescent="0.25">
      <c r="A18" s="2">
        <v>14</v>
      </c>
      <c r="B18" s="6" t="s">
        <v>5</v>
      </c>
      <c r="C18" s="2"/>
      <c r="D18" s="2"/>
      <c r="E18" s="2">
        <v>0.28499999999999998</v>
      </c>
      <c r="F18" s="2">
        <v>10.8</v>
      </c>
      <c r="G18" s="9">
        <f t="shared" si="0"/>
        <v>-10.8</v>
      </c>
      <c r="I18" s="6" t="s">
        <v>5</v>
      </c>
      <c r="J18" s="3"/>
      <c r="K18" s="3"/>
      <c r="L18" s="3"/>
      <c r="M18" s="3"/>
      <c r="N18" s="7">
        <f t="shared" si="1"/>
        <v>0</v>
      </c>
    </row>
    <row r="19" spans="1:14" x14ac:dyDescent="0.25">
      <c r="A19" s="2">
        <v>15</v>
      </c>
      <c r="B19" s="6" t="s">
        <v>5</v>
      </c>
      <c r="C19" s="2"/>
      <c r="D19" s="2"/>
      <c r="E19" s="2">
        <v>0.28499999999999998</v>
      </c>
      <c r="F19" s="2">
        <v>10.8</v>
      </c>
      <c r="G19" s="9">
        <f t="shared" si="0"/>
        <v>-10.8</v>
      </c>
      <c r="I19" s="6" t="s">
        <v>5</v>
      </c>
      <c r="J19" s="3"/>
      <c r="K19" s="3"/>
      <c r="L19" s="3"/>
      <c r="M19" s="3"/>
      <c r="N19" s="7">
        <f t="shared" si="1"/>
        <v>0</v>
      </c>
    </row>
    <row r="20" spans="1:14" x14ac:dyDescent="0.25">
      <c r="A20" s="2">
        <v>16</v>
      </c>
      <c r="B20" s="6" t="s">
        <v>5</v>
      </c>
      <c r="C20" s="2"/>
      <c r="D20" s="2"/>
      <c r="E20" s="2">
        <v>0.28499999999999998</v>
      </c>
      <c r="F20" s="2">
        <v>10.8</v>
      </c>
      <c r="G20" s="9">
        <f t="shared" si="0"/>
        <v>-10.8</v>
      </c>
      <c r="I20" s="6" t="s">
        <v>5</v>
      </c>
      <c r="J20" s="3"/>
      <c r="K20" s="3"/>
      <c r="L20" s="3"/>
      <c r="M20" s="3"/>
      <c r="N20" s="7">
        <f t="shared" si="1"/>
        <v>0</v>
      </c>
    </row>
    <row r="21" spans="1:14" x14ac:dyDescent="0.25">
      <c r="A21" s="2">
        <v>17</v>
      </c>
      <c r="B21" s="6" t="s">
        <v>5</v>
      </c>
      <c r="C21" s="2"/>
      <c r="D21" s="2"/>
      <c r="E21" s="2">
        <v>0.28499999999999998</v>
      </c>
      <c r="F21" s="2">
        <v>10.8</v>
      </c>
      <c r="G21" s="9">
        <f t="shared" si="0"/>
        <v>-10.8</v>
      </c>
      <c r="I21" s="6" t="s">
        <v>5</v>
      </c>
      <c r="J21" s="3"/>
      <c r="K21" s="3"/>
      <c r="L21" s="3"/>
      <c r="M21" s="3"/>
      <c r="N21" s="7">
        <f t="shared" si="1"/>
        <v>0</v>
      </c>
    </row>
    <row r="22" spans="1:14" x14ac:dyDescent="0.25">
      <c r="A22" s="2">
        <v>18</v>
      </c>
      <c r="B22" s="6" t="s">
        <v>5</v>
      </c>
      <c r="C22" s="2"/>
      <c r="D22" s="2"/>
      <c r="E22" s="2">
        <v>0.28499999999999998</v>
      </c>
      <c r="F22" s="2">
        <v>10.8</v>
      </c>
      <c r="G22" s="9">
        <f t="shared" si="0"/>
        <v>-10.8</v>
      </c>
      <c r="I22" s="6" t="s">
        <v>5</v>
      </c>
      <c r="J22" s="3"/>
      <c r="K22" s="3"/>
      <c r="L22" s="3"/>
      <c r="M22" s="3"/>
      <c r="N22" s="7">
        <f t="shared" si="1"/>
        <v>0</v>
      </c>
    </row>
    <row r="23" spans="1:14" x14ac:dyDescent="0.25">
      <c r="A23" s="2">
        <v>19</v>
      </c>
      <c r="B23" s="6" t="s">
        <v>5</v>
      </c>
      <c r="C23" s="2"/>
      <c r="D23" s="2"/>
      <c r="E23" s="2"/>
      <c r="F23" s="2"/>
      <c r="G23" s="9"/>
      <c r="I23" s="6" t="s">
        <v>5</v>
      </c>
      <c r="J23" s="3"/>
      <c r="K23" s="3"/>
      <c r="L23" s="3"/>
      <c r="M23" s="3"/>
      <c r="N23" s="7">
        <f t="shared" si="1"/>
        <v>0</v>
      </c>
    </row>
    <row r="24" spans="1:14" x14ac:dyDescent="0.25">
      <c r="A24" s="2">
        <v>20</v>
      </c>
      <c r="B24" s="6" t="s">
        <v>5</v>
      </c>
      <c r="C24" s="2"/>
      <c r="D24" s="2"/>
      <c r="E24" s="2"/>
      <c r="F24" s="2"/>
      <c r="G24" s="9"/>
      <c r="I24" s="6" t="s">
        <v>5</v>
      </c>
      <c r="J24" s="3"/>
      <c r="K24" s="3"/>
      <c r="L24" s="3"/>
      <c r="M24" s="3"/>
      <c r="N24" s="7">
        <f t="shared" si="1"/>
        <v>0</v>
      </c>
    </row>
    <row r="25" spans="1:14" x14ac:dyDescent="0.25">
      <c r="A25" s="2">
        <v>21</v>
      </c>
      <c r="B25" s="6" t="s">
        <v>5</v>
      </c>
      <c r="C25" s="2"/>
      <c r="D25" s="2"/>
      <c r="E25" s="2"/>
      <c r="F25" s="2"/>
      <c r="G25" s="9"/>
      <c r="I25" s="6" t="s">
        <v>5</v>
      </c>
      <c r="J25" s="3"/>
      <c r="K25" s="3"/>
      <c r="L25" s="3"/>
      <c r="M25" s="3"/>
      <c r="N25" s="7">
        <f t="shared" si="1"/>
        <v>0</v>
      </c>
    </row>
    <row r="26" spans="1:14" ht="15.75" thickBot="1" x14ac:dyDescent="0.3">
      <c r="B26" s="6" t="s">
        <v>5</v>
      </c>
      <c r="C26" s="2"/>
      <c r="D26" s="2"/>
      <c r="E26" s="2"/>
      <c r="F26" s="2"/>
      <c r="G26" s="9"/>
      <c r="I26" s="28" t="s">
        <v>10</v>
      </c>
      <c r="J26" s="29"/>
      <c r="K26" s="29"/>
      <c r="L26" s="29"/>
      <c r="M26" s="29"/>
      <c r="N26" s="8">
        <f>SUM(N5:N25)</f>
        <v>-140.4</v>
      </c>
    </row>
    <row r="27" spans="1:14" x14ac:dyDescent="0.25">
      <c r="B27" s="6" t="s">
        <v>5</v>
      </c>
      <c r="C27" s="2"/>
      <c r="D27" s="2"/>
      <c r="E27" s="2"/>
      <c r="F27" s="2"/>
      <c r="G27" s="9"/>
    </row>
    <row r="28" spans="1:14" x14ac:dyDescent="0.25">
      <c r="B28" s="6" t="s">
        <v>5</v>
      </c>
      <c r="C28" s="2"/>
      <c r="D28" s="2"/>
      <c r="E28" s="2"/>
      <c r="F28" s="2"/>
      <c r="G28" s="9"/>
    </row>
    <row r="29" spans="1:14" ht="15.75" thickBot="1" x14ac:dyDescent="0.3">
      <c r="B29" s="28" t="s">
        <v>10</v>
      </c>
      <c r="C29" s="29"/>
      <c r="D29" s="29"/>
      <c r="E29" s="29"/>
      <c r="F29" s="29"/>
      <c r="G29" s="8">
        <f>SUM(G5:G28)</f>
        <v>-194.40000000000006</v>
      </c>
    </row>
    <row r="30" spans="1:14" x14ac:dyDescent="0.25">
      <c r="I30" t="s">
        <v>15</v>
      </c>
    </row>
    <row r="32" spans="1:14" ht="15.75" thickBot="1" x14ac:dyDescent="0.3"/>
    <row r="33" spans="7:12" x14ac:dyDescent="0.25">
      <c r="G33" s="13" t="s">
        <v>11</v>
      </c>
      <c r="H33" s="14"/>
      <c r="I33" s="37">
        <f>G29+N26</f>
        <v>-334.80000000000007</v>
      </c>
      <c r="J33" s="38"/>
      <c r="L33" t="s">
        <v>15</v>
      </c>
    </row>
    <row r="34" spans="7:12" ht="15.75" thickBot="1" x14ac:dyDescent="0.3">
      <c r="G34" s="15"/>
      <c r="H34" s="16"/>
      <c r="I34" s="39"/>
      <c r="J34" s="40"/>
    </row>
  </sheetData>
  <mergeCells count="7">
    <mergeCell ref="G33:H34"/>
    <mergeCell ref="I33:J34"/>
    <mergeCell ref="E2:J2"/>
    <mergeCell ref="B3:G3"/>
    <mergeCell ref="I3:N3"/>
    <mergeCell ref="I26:M26"/>
    <mergeCell ref="B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PRO. FINISOR DIA</vt:lpstr>
      <vt:lpstr>PROD. FINISOR TARDE</vt:lpstr>
      <vt:lpstr>PROD. FINISOR NOCHE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2026-04-14T17:05:53Z</dcterms:created>
  <dcterms:modified xsi:type="dcterms:W3CDTF">2026-05-29T12:56:32Z</dcterms:modified>
</cp:coreProperties>
</file>