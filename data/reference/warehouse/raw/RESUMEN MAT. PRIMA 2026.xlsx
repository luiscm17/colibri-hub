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MACEN\Desktop\DATOS\"/>
    </mc:Choice>
  </mc:AlternateContent>
  <xr:revisionPtr revIDLastSave="0" documentId="13_ncr:1_{08DF336F-4996-4B0C-94EC-548CCBFAC289}" xr6:coauthVersionLast="47" xr6:coauthVersionMax="47" xr10:uidLastSave="{00000000-0000-0000-0000-000000000000}"/>
  <bookViews>
    <workbookView xWindow="-120" yWindow="-120" windowWidth="29040" windowHeight="15840" xr2:uid="{13A6CAA6-1EBD-4C73-BE78-CB18517B87F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5" i="1" l="1"/>
  <c r="K65" i="1"/>
  <c r="L65" i="1"/>
  <c r="K44" i="1"/>
  <c r="N19" i="1"/>
  <c r="L30" i="1"/>
  <c r="K63" i="1" s="1"/>
  <c r="M30" i="1"/>
  <c r="M48" i="1" l="1"/>
  <c r="L46" i="1"/>
  <c r="L47" i="1"/>
  <c r="M47" i="1" s="1"/>
  <c r="L49" i="1"/>
  <c r="M49" i="1" s="1"/>
  <c r="L44" i="1"/>
  <c r="L43" i="1"/>
  <c r="L54" i="1" l="1"/>
  <c r="L63" i="1" s="1"/>
  <c r="M63" i="1" s="1"/>
  <c r="N14" i="1"/>
  <c r="N15" i="1"/>
  <c r="N16" i="1"/>
  <c r="N17" i="1"/>
  <c r="N18" i="1"/>
  <c r="N20" i="1"/>
  <c r="N21" i="1"/>
  <c r="N22" i="1"/>
  <c r="N23" i="1"/>
  <c r="N24" i="1"/>
  <c r="N25" i="1"/>
  <c r="N26" i="1"/>
  <c r="N27" i="1"/>
  <c r="N28" i="1"/>
  <c r="N29" i="1"/>
  <c r="N13" i="1"/>
  <c r="N12" i="1"/>
  <c r="N11" i="1"/>
  <c r="K43" i="1"/>
  <c r="M43" i="1" l="1"/>
  <c r="N30" i="1"/>
  <c r="M44" i="1"/>
  <c r="K45" i="1"/>
  <c r="M45" i="1" s="1"/>
  <c r="K46" i="1"/>
  <c r="M46" i="1" s="1"/>
  <c r="M50" i="1"/>
  <c r="K52" i="1"/>
  <c r="M52" i="1" s="1"/>
  <c r="D57" i="1"/>
  <c r="C57" i="1"/>
  <c r="K61" i="1" s="1"/>
  <c r="K51" i="1"/>
  <c r="M51" i="1" s="1"/>
  <c r="E27" i="1"/>
  <c r="M54" i="1" l="1"/>
  <c r="K54" i="1"/>
  <c r="L61" i="1" s="1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12" i="1"/>
  <c r="E11" i="1"/>
  <c r="E57" i="1" l="1"/>
  <c r="M61" i="1"/>
</calcChain>
</file>

<file path=xl/sharedStrings.xml><?xml version="1.0" encoding="utf-8"?>
<sst xmlns="http://schemas.openxmlformats.org/spreadsheetml/2006/main" count="119" uniqueCount="100">
  <si>
    <t>N* CAMIONES</t>
  </si>
  <si>
    <t>FECHA DE ING.</t>
  </si>
  <si>
    <t>KILOS</t>
  </si>
  <si>
    <t>KILOS ENTREGADOS</t>
  </si>
  <si>
    <t>SALDOS</t>
  </si>
  <si>
    <t>CAMION 01 HB</t>
  </si>
  <si>
    <t>CAMION 02 HB</t>
  </si>
  <si>
    <t>CAMION 03 HB</t>
  </si>
  <si>
    <t>CAMION 03 HB 3,3</t>
  </si>
  <si>
    <t>CAMION 04 HB</t>
  </si>
  <si>
    <t>CAMION 04 HB 3,3</t>
  </si>
  <si>
    <t>CAMION 05 HB</t>
  </si>
  <si>
    <t>CAMION 05 HB P/ 60701</t>
  </si>
  <si>
    <t>CAMION 06 HB</t>
  </si>
  <si>
    <t>CAMION 06 TIPO "N" 4,1</t>
  </si>
  <si>
    <t>CAMION 06 S/MATE HB 1,3</t>
  </si>
  <si>
    <t>CAMION 06 S/MATE "N" 1,6</t>
  </si>
  <si>
    <t>CAMION 07 HB</t>
  </si>
  <si>
    <t>CAMION 08 HB</t>
  </si>
  <si>
    <t>CAMION 08 HB P/60703</t>
  </si>
  <si>
    <t>CAMION 09 HB</t>
  </si>
  <si>
    <t>CAMION 10 HB</t>
  </si>
  <si>
    <t>CAMION 11 HB</t>
  </si>
  <si>
    <t>CAMION 12 HB</t>
  </si>
  <si>
    <t>CAMION 13 HB</t>
  </si>
  <si>
    <t>CAMION 14 HB</t>
  </si>
  <si>
    <t>CAMION 15 TIPO"N" 4,1</t>
  </si>
  <si>
    <t>CAMION 15 HB</t>
  </si>
  <si>
    <t>CAMION 16 HB</t>
  </si>
  <si>
    <t>CAMION 16 TIPO "N" 4,1</t>
  </si>
  <si>
    <t>CAMION 17 HB 1,6</t>
  </si>
  <si>
    <t>CAMION 17 TIPO "N" 1,6 P/ 30116</t>
  </si>
  <si>
    <t>CAMION 17 TIPO "N" 1,6 P/ 30102</t>
  </si>
  <si>
    <t>CAMION 17 S/MATE "N" 1,6 P/ 40138</t>
  </si>
  <si>
    <t>CAMION 17 S/MATE "N" 2,2</t>
  </si>
  <si>
    <t xml:space="preserve">CAMION 17 HB </t>
  </si>
  <si>
    <t xml:space="preserve">CAMION 18 HB </t>
  </si>
  <si>
    <t>CAMION 18 HB 3,3</t>
  </si>
  <si>
    <t xml:space="preserve">CAMION 19 HB </t>
  </si>
  <si>
    <t xml:space="preserve">CAMION 20 HB </t>
  </si>
  <si>
    <t xml:space="preserve">CAMION 21 HB </t>
  </si>
  <si>
    <t>CAMION 20 TIPO "N" 4,1</t>
  </si>
  <si>
    <t>CAMION 20 HB P/60710</t>
  </si>
  <si>
    <t>CAMION 21 TIPO "N" 4,1</t>
  </si>
  <si>
    <t>CAMION 22 S/MATE "N" 2,2</t>
  </si>
  <si>
    <t xml:space="preserve">CAMION 22 HB </t>
  </si>
  <si>
    <t>CAMION 16 HB S/MATE 1,6 P/60109</t>
  </si>
  <si>
    <t>CAMION 16 HB S/MATE 1,6 P/60917</t>
  </si>
  <si>
    <t>RESUMEN DE MATERIA PRIMA DEL 2026</t>
  </si>
  <si>
    <t>CAMIONES</t>
  </si>
  <si>
    <t>CICLAN</t>
  </si>
  <si>
    <t>CAMION 26 SEMIMATE "N" 3,3</t>
  </si>
  <si>
    <t>CAMION 31 HB 3,3</t>
  </si>
  <si>
    <t>CAMION 38 TIPO NEGRO 3,6</t>
  </si>
  <si>
    <t>TOPS ALPACA S/FINA Y GURESA</t>
  </si>
  <si>
    <t>TOPS OVEJA</t>
  </si>
  <si>
    <t>CAMION 43 TIPO "N" 4,1</t>
  </si>
  <si>
    <t>CAMION 44 TIPO "N" 4,1</t>
  </si>
  <si>
    <t>TOPS S/FINA ALPACA</t>
  </si>
  <si>
    <t>CAMION 45 SEMIMATE "N" 2,2</t>
  </si>
  <si>
    <t>CAMON 46 SEMIMATE 3,3</t>
  </si>
  <si>
    <t>CAMiON 47 HB</t>
  </si>
  <si>
    <t>CAMION 47 TIPO "N" 4,1</t>
  </si>
  <si>
    <t>CAMIONES SALDO 2024 - 2025</t>
  </si>
  <si>
    <t>TIPO</t>
  </si>
  <si>
    <t>KG ENTREGADOS 2025</t>
  </si>
  <si>
    <t>TOTAL ENTREGADO</t>
  </si>
  <si>
    <t>TIPO HB</t>
  </si>
  <si>
    <t>TIPO "N" 4,1</t>
  </si>
  <si>
    <t>TIPO S/MATE "N" 2,2</t>
  </si>
  <si>
    <t>NEGRO 3,6</t>
  </si>
  <si>
    <t>KG ENTREGADOS 2026</t>
  </si>
  <si>
    <t>TIPO HB 3,3</t>
  </si>
  <si>
    <t>S/MATE HB 1,3</t>
  </si>
  <si>
    <t>TIPO HB 1,6</t>
  </si>
  <si>
    <t>TOTALES</t>
  </si>
  <si>
    <t>CAMION 26 S/MATE "N" 3,3</t>
  </si>
  <si>
    <t>TOPS ALPACA S/FINA Y  GRUESA</t>
  </si>
  <si>
    <t>TOPS S/FINA ALPACA CLARO</t>
  </si>
  <si>
    <t>TOPS S/FINA ALPACA OSCURO</t>
  </si>
  <si>
    <t>CAMION 03 S/MATE TIPO "N" 3,3</t>
  </si>
  <si>
    <t>CAMION 32 NEGRO 3,6</t>
  </si>
  <si>
    <t>CAMION 53 TIPO "N" 4,1</t>
  </si>
  <si>
    <t>CAMION 56 HB</t>
  </si>
  <si>
    <t>CAMION 57 HB</t>
  </si>
  <si>
    <t>CAMION 57 TIPO "N" 4,1</t>
  </si>
  <si>
    <t>CAMION 57 S/MATE "N" 2,2</t>
  </si>
  <si>
    <t>CAMION 57 HB S/MATE 3,3</t>
  </si>
  <si>
    <t>CAMION 58 HB</t>
  </si>
  <si>
    <t>KILOS ENTREGADO POR TIPO</t>
  </si>
  <si>
    <t>TIPO HB S/MATE 3,3</t>
  </si>
  <si>
    <t>GESTION</t>
  </si>
  <si>
    <t xml:space="preserve">KILOS </t>
  </si>
  <si>
    <t>RESUMEN DE MATERIA PRIMA</t>
  </si>
  <si>
    <t>GESTION 2025</t>
  </si>
  <si>
    <t>GESTION 2026</t>
  </si>
  <si>
    <t xml:space="preserve">CAMION 23 HB </t>
  </si>
  <si>
    <t>CAMION 23 TIPO "N" 4,1</t>
  </si>
  <si>
    <t>CAMION 03 TIPO "N"4,1</t>
  </si>
  <si>
    <t>CAMIONES INGRESADOS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</si>
</sst>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8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4" fontId="2" fillId="3" borderId="1" xfId="0" applyNumberFormat="1" applyFont="1" applyFill="1" applyBorder="1"/>
    <xf numFmtId="0" fontId="2" fillId="3" borderId="0" xfId="0" applyFont="1" applyFill="1"/>
    <xf numFmtId="0" fontId="0" fillId="3" borderId="0" xfId="0" applyFill="1"/>
    <xf numFmtId="164" fontId="5" fillId="0" borderId="1" xfId="0" applyNumberFormat="1" applyFont="1" applyBorder="1"/>
    <xf numFmtId="43" fontId="5" fillId="0" borderId="1" xfId="0" applyNumberFormat="1" applyFont="1" applyBorder="1"/>
    <xf numFmtId="0" fontId="5" fillId="0" borderId="1" xfId="0" applyFont="1" applyBorder="1"/>
    <xf numFmtId="0" fontId="5" fillId="3" borderId="1" xfId="0" applyFont="1" applyFill="1" applyBorder="1"/>
    <xf numFmtId="43" fontId="5" fillId="3" borderId="1" xfId="0" applyNumberFormat="1" applyFont="1" applyFill="1" applyBorder="1"/>
    <xf numFmtId="0" fontId="5" fillId="0" borderId="1" xfId="0" applyFont="1" applyBorder="1" applyAlignment="1">
      <alignment vertical="center"/>
    </xf>
    <xf numFmtId="0" fontId="6" fillId="0" borderId="1" xfId="0" applyFont="1" applyBorder="1"/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43" fontId="6" fillId="0" borderId="1" xfId="0" applyNumberFormat="1" applyFont="1" applyBorder="1"/>
    <xf numFmtId="164" fontId="3" fillId="0" borderId="1" xfId="0" applyNumberFormat="1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14" fontId="2" fillId="5" borderId="1" xfId="0" applyNumberFormat="1" applyFont="1" applyFill="1" applyBorder="1"/>
    <xf numFmtId="0" fontId="2" fillId="6" borderId="1" xfId="0" applyFont="1" applyFill="1" applyBorder="1"/>
    <xf numFmtId="14" fontId="2" fillId="6" borderId="1" xfId="0" applyNumberFormat="1" applyFont="1" applyFill="1" applyBorder="1"/>
    <xf numFmtId="0" fontId="2" fillId="7" borderId="1" xfId="0" applyFont="1" applyFill="1" applyBorder="1"/>
    <xf numFmtId="14" fontId="2" fillId="7" borderId="1" xfId="0" applyNumberFormat="1" applyFont="1" applyFill="1" applyBorder="1"/>
    <xf numFmtId="0" fontId="2" fillId="8" borderId="1" xfId="0" applyFont="1" applyFill="1" applyBorder="1"/>
    <xf numFmtId="14" fontId="2" fillId="8" borderId="1" xfId="0" applyNumberFormat="1" applyFont="1" applyFill="1" applyBorder="1"/>
    <xf numFmtId="0" fontId="2" fillId="10" borderId="1" xfId="0" applyFont="1" applyFill="1" applyBorder="1"/>
    <xf numFmtId="14" fontId="2" fillId="10" borderId="1" xfId="0" applyNumberFormat="1" applyFont="1" applyFill="1" applyBorder="1"/>
    <xf numFmtId="0" fontId="3" fillId="3" borderId="1" xfId="0" applyFont="1" applyFill="1" applyBorder="1"/>
    <xf numFmtId="0" fontId="6" fillId="3" borderId="1" xfId="0" applyFont="1" applyFill="1" applyBorder="1"/>
    <xf numFmtId="0" fontId="2" fillId="11" borderId="1" xfId="0" applyFont="1" applyFill="1" applyBorder="1"/>
    <xf numFmtId="14" fontId="2" fillId="11" borderId="1" xfId="0" applyNumberFormat="1" applyFont="1" applyFill="1" applyBorder="1"/>
    <xf numFmtId="0" fontId="3" fillId="0" borderId="0" xfId="0" applyFont="1" applyBorder="1"/>
    <xf numFmtId="164" fontId="3" fillId="0" borderId="0" xfId="0" applyNumberFormat="1" applyFont="1" applyBorder="1"/>
    <xf numFmtId="0" fontId="3" fillId="3" borderId="0" xfId="0" applyFont="1" applyFill="1" applyBorder="1"/>
    <xf numFmtId="0" fontId="0" fillId="0" borderId="0" xfId="0" applyBorder="1"/>
    <xf numFmtId="0" fontId="3" fillId="0" borderId="0" xfId="0" applyFont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10" fillId="0" borderId="1" xfId="0" applyFont="1" applyBorder="1"/>
    <xf numFmtId="0" fontId="3" fillId="5" borderId="1" xfId="0" applyFont="1" applyFill="1" applyBorder="1"/>
    <xf numFmtId="43" fontId="3" fillId="5" borderId="1" xfId="0" applyNumberFormat="1" applyFont="1" applyFill="1" applyBorder="1"/>
    <xf numFmtId="0" fontId="3" fillId="7" borderId="1" xfId="0" applyFont="1" applyFill="1" applyBorder="1"/>
    <xf numFmtId="43" fontId="3" fillId="7" borderId="1" xfId="0" applyNumberFormat="1" applyFont="1" applyFill="1" applyBorder="1"/>
    <xf numFmtId="164" fontId="3" fillId="10" borderId="1" xfId="0" applyNumberFormat="1" applyFont="1" applyFill="1" applyBorder="1"/>
    <xf numFmtId="43" fontId="3" fillId="10" borderId="1" xfId="0" applyNumberFormat="1" applyFont="1" applyFill="1" applyBorder="1"/>
    <xf numFmtId="0" fontId="3" fillId="12" borderId="1" xfId="0" applyFont="1" applyFill="1" applyBorder="1"/>
    <xf numFmtId="43" fontId="3" fillId="12" borderId="1" xfId="0" applyNumberFormat="1" applyFont="1" applyFill="1" applyBorder="1"/>
    <xf numFmtId="0" fontId="3" fillId="2" borderId="1" xfId="0" applyFont="1" applyFill="1" applyBorder="1"/>
    <xf numFmtId="43" fontId="3" fillId="2" borderId="1" xfId="0" applyNumberFormat="1" applyFont="1" applyFill="1" applyBorder="1"/>
    <xf numFmtId="0" fontId="3" fillId="9" borderId="1" xfId="0" applyFont="1" applyFill="1" applyBorder="1"/>
    <xf numFmtId="43" fontId="3" fillId="9" borderId="1" xfId="0" applyNumberFormat="1" applyFont="1" applyFill="1" applyBorder="1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43" fontId="0" fillId="0" borderId="0" xfId="0" applyNumberFormat="1"/>
    <xf numFmtId="164" fontId="8" fillId="0" borderId="11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43" fontId="8" fillId="0" borderId="11" xfId="0" applyNumberFormat="1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43" fontId="3" fillId="0" borderId="1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3" fontId="8" fillId="3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9" borderId="1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right"/>
    </xf>
    <xf numFmtId="0" fontId="6" fillId="3" borderId="6" xfId="0" applyFont="1" applyFill="1" applyBorder="1" applyAlignment="1">
      <alignment horizontal="right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43" fontId="6" fillId="0" borderId="5" xfId="0" applyNumberFormat="1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wrapText="1"/>
    </xf>
    <xf numFmtId="0" fontId="8" fillId="2" borderId="12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320A-1CCF-4789-A8BE-97A8FE180B59}">
  <dimension ref="A3:R69"/>
  <sheetViews>
    <sheetView tabSelected="1" topLeftCell="A7" workbookViewId="0">
      <selection activeCell="C11" sqref="C11"/>
    </sheetView>
  </sheetViews>
  <sheetFormatPr baseColWidth="10" defaultRowHeight="15" x14ac:dyDescent="0.25"/>
  <cols>
    <col min="1" max="1" width="36" customWidth="1"/>
    <col min="2" max="2" width="17.28515625" customWidth="1"/>
    <col min="3" max="3" width="17.5703125" customWidth="1"/>
    <col min="4" max="5" width="23.42578125" customWidth="1"/>
    <col min="10" max="10" width="37" customWidth="1"/>
    <col min="11" max="11" width="25.85546875" customWidth="1"/>
    <col min="12" max="12" width="23.85546875" customWidth="1"/>
    <col min="13" max="13" width="18.140625" customWidth="1"/>
    <col min="14" max="14" width="18" customWidth="1"/>
  </cols>
  <sheetData>
    <row r="3" spans="1:18" ht="15" customHeight="1" x14ac:dyDescent="0.25">
      <c r="C3" s="92" t="s">
        <v>48</v>
      </c>
      <c r="D3" s="92"/>
      <c r="E3" s="92"/>
      <c r="F3" s="92"/>
      <c r="G3" s="92"/>
      <c r="H3" s="92"/>
      <c r="I3" s="92"/>
      <c r="J3" s="92"/>
      <c r="K3" s="92"/>
    </row>
    <row r="4" spans="1:18" ht="209.25" customHeight="1" x14ac:dyDescent="0.25">
      <c r="C4" s="92"/>
      <c r="D4" s="92"/>
      <c r="E4" s="92"/>
      <c r="F4" s="92"/>
      <c r="G4" s="92"/>
      <c r="H4" s="92"/>
      <c r="I4" s="92"/>
      <c r="J4" s="92"/>
      <c r="K4" s="92"/>
    </row>
    <row r="7" spans="1:18" ht="47.25" customHeight="1" x14ac:dyDescent="0.25"/>
    <row r="8" spans="1:18" ht="47.25" customHeight="1" x14ac:dyDescent="0.25"/>
    <row r="9" spans="1:18" ht="38.25" customHeight="1" x14ac:dyDescent="0.25">
      <c r="A9" s="103" t="s">
        <v>99</v>
      </c>
      <c r="B9" s="104"/>
      <c r="C9" s="104"/>
      <c r="D9" s="104"/>
      <c r="E9" s="105"/>
      <c r="J9" s="62" t="s">
        <v>63</v>
      </c>
      <c r="K9" s="62"/>
      <c r="L9" s="62"/>
      <c r="M9" s="62"/>
      <c r="N9" s="62"/>
    </row>
    <row r="10" spans="1:18" ht="36.75" customHeight="1" x14ac:dyDescent="0.25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J10" s="106" t="s">
        <v>49</v>
      </c>
      <c r="K10" s="107"/>
      <c r="L10" s="20" t="s">
        <v>2</v>
      </c>
      <c r="M10" s="21" t="s">
        <v>3</v>
      </c>
      <c r="N10" s="20" t="s">
        <v>4</v>
      </c>
    </row>
    <row r="11" spans="1:18" ht="20.25" customHeight="1" x14ac:dyDescent="0.3">
      <c r="A11" s="22" t="s">
        <v>5</v>
      </c>
      <c r="B11" s="23">
        <v>46029</v>
      </c>
      <c r="C11" s="22">
        <v>19310.2</v>
      </c>
      <c r="D11" s="22">
        <v>19310.2</v>
      </c>
      <c r="E11" s="22">
        <f>C11-D11</f>
        <v>0</v>
      </c>
      <c r="F11" s="1"/>
      <c r="G11" s="1"/>
      <c r="J11" s="108" t="s">
        <v>50</v>
      </c>
      <c r="K11" s="109"/>
      <c r="L11" s="47">
        <v>1988</v>
      </c>
      <c r="M11" s="47">
        <v>1988</v>
      </c>
      <c r="N11" s="48">
        <f>L11-M11</f>
        <v>0</v>
      </c>
    </row>
    <row r="12" spans="1:18" ht="20.25" customHeight="1" x14ac:dyDescent="0.3">
      <c r="A12" s="22" t="s">
        <v>6</v>
      </c>
      <c r="B12" s="23">
        <v>46036</v>
      </c>
      <c r="C12" s="22">
        <v>19127.599999999999</v>
      </c>
      <c r="D12" s="22">
        <v>19127.599999999999</v>
      </c>
      <c r="E12" s="22">
        <f>C12-D12</f>
        <v>0</v>
      </c>
      <c r="F12" s="1"/>
      <c r="G12" s="1"/>
      <c r="J12" s="79" t="s">
        <v>76</v>
      </c>
      <c r="K12" s="80"/>
      <c r="L12" s="17">
        <v>1793.3</v>
      </c>
      <c r="M12" s="17">
        <v>0</v>
      </c>
      <c r="N12" s="18">
        <f>L12-M12</f>
        <v>1793.3</v>
      </c>
    </row>
    <row r="13" spans="1:18" ht="20.25" customHeight="1" x14ac:dyDescent="0.3">
      <c r="A13" s="22" t="s">
        <v>7</v>
      </c>
      <c r="B13" s="23">
        <v>46043</v>
      </c>
      <c r="C13" s="22">
        <v>9310.2000000000007</v>
      </c>
      <c r="D13" s="22">
        <v>9310.2000000000007</v>
      </c>
      <c r="E13" s="22">
        <f t="shared" ref="E13:E56" si="0">C13-D13</f>
        <v>0</v>
      </c>
      <c r="F13" s="1"/>
      <c r="G13" s="1"/>
      <c r="J13" s="79" t="s">
        <v>77</v>
      </c>
      <c r="K13" s="80"/>
      <c r="L13" s="17">
        <v>33.799999999999997</v>
      </c>
      <c r="M13" s="17">
        <v>0</v>
      </c>
      <c r="N13" s="18">
        <f>L13-M13</f>
        <v>33.799999999999997</v>
      </c>
      <c r="P13" s="39"/>
      <c r="Q13" s="39"/>
      <c r="R13" s="39"/>
    </row>
    <row r="14" spans="1:18" ht="20.25" customHeight="1" x14ac:dyDescent="0.3">
      <c r="A14" s="26" t="s">
        <v>8</v>
      </c>
      <c r="B14" s="27">
        <v>46043</v>
      </c>
      <c r="C14" s="26">
        <v>5958.9</v>
      </c>
      <c r="D14" s="26">
        <v>5958.9</v>
      </c>
      <c r="E14" s="26">
        <f t="shared" si="0"/>
        <v>0</v>
      </c>
      <c r="F14" s="1"/>
      <c r="G14" s="1"/>
      <c r="J14" s="79" t="s">
        <v>55</v>
      </c>
      <c r="K14" s="80"/>
      <c r="L14" s="17">
        <v>22.91</v>
      </c>
      <c r="M14" s="17">
        <v>0</v>
      </c>
      <c r="N14" s="18">
        <f t="shared" ref="N14:N29" si="1">L14-M14</f>
        <v>22.91</v>
      </c>
      <c r="P14" s="40"/>
      <c r="Q14" s="40"/>
      <c r="R14" s="37"/>
    </row>
    <row r="15" spans="1:18" ht="20.25" customHeight="1" x14ac:dyDescent="0.3">
      <c r="A15" s="24" t="s">
        <v>98</v>
      </c>
      <c r="B15" s="25">
        <v>46043</v>
      </c>
      <c r="C15" s="24">
        <v>4017.3</v>
      </c>
      <c r="D15" s="24">
        <v>4017.3</v>
      </c>
      <c r="E15" s="24">
        <f t="shared" si="0"/>
        <v>0</v>
      </c>
      <c r="F15" s="1"/>
      <c r="G15" s="1"/>
      <c r="J15" s="83" t="s">
        <v>57</v>
      </c>
      <c r="K15" s="84"/>
      <c r="L15" s="45">
        <v>697.2</v>
      </c>
      <c r="M15" s="45">
        <v>697.2</v>
      </c>
      <c r="N15" s="46">
        <f t="shared" si="1"/>
        <v>0</v>
      </c>
      <c r="P15" s="40"/>
      <c r="Q15" s="40"/>
      <c r="R15" s="36"/>
    </row>
    <row r="16" spans="1:18" ht="20.25" customHeight="1" x14ac:dyDescent="0.3">
      <c r="A16" s="22" t="s">
        <v>9</v>
      </c>
      <c r="B16" s="23">
        <v>46045</v>
      </c>
      <c r="C16" s="22">
        <v>2789.9</v>
      </c>
      <c r="D16" s="22">
        <v>2789.9</v>
      </c>
      <c r="E16" s="22">
        <f t="shared" si="0"/>
        <v>0</v>
      </c>
      <c r="F16" s="1"/>
      <c r="G16" s="1"/>
      <c r="J16" s="79" t="s">
        <v>58</v>
      </c>
      <c r="K16" s="80"/>
      <c r="L16" s="17">
        <v>261.39</v>
      </c>
      <c r="M16" s="17">
        <v>0</v>
      </c>
      <c r="N16" s="18">
        <f t="shared" si="1"/>
        <v>261.39</v>
      </c>
      <c r="P16" s="40"/>
      <c r="Q16" s="40"/>
      <c r="R16" s="37"/>
    </row>
    <row r="17" spans="1:18" ht="20.25" customHeight="1" x14ac:dyDescent="0.3">
      <c r="A17" s="26" t="s">
        <v>10</v>
      </c>
      <c r="B17" s="27">
        <v>46045</v>
      </c>
      <c r="C17" s="26">
        <v>16438.599999999999</v>
      </c>
      <c r="D17" s="26">
        <v>16438.599999999999</v>
      </c>
      <c r="E17" s="26">
        <f t="shared" si="0"/>
        <v>0</v>
      </c>
      <c r="F17" s="1"/>
      <c r="G17" s="1"/>
      <c r="J17" s="79" t="s">
        <v>78</v>
      </c>
      <c r="K17" s="80"/>
      <c r="L17" s="19">
        <v>110.89</v>
      </c>
      <c r="M17" s="19">
        <v>0</v>
      </c>
      <c r="N17" s="18">
        <f t="shared" si="1"/>
        <v>110.89</v>
      </c>
      <c r="P17" s="40"/>
      <c r="Q17" s="40"/>
      <c r="R17" s="36"/>
    </row>
    <row r="18" spans="1:18" ht="20.25" customHeight="1" x14ac:dyDescent="0.3">
      <c r="A18" s="22" t="s">
        <v>11</v>
      </c>
      <c r="B18" s="23">
        <v>46050</v>
      </c>
      <c r="C18" s="22">
        <v>11408.8</v>
      </c>
      <c r="D18" s="22">
        <v>11408.8</v>
      </c>
      <c r="E18" s="22">
        <f t="shared" si="0"/>
        <v>0</v>
      </c>
      <c r="F18" s="1"/>
      <c r="G18" s="1"/>
      <c r="J18" s="79" t="s">
        <v>79</v>
      </c>
      <c r="K18" s="80"/>
      <c r="L18" s="19">
        <v>130.66</v>
      </c>
      <c r="M18" s="19">
        <v>0</v>
      </c>
      <c r="N18" s="18">
        <f t="shared" si="1"/>
        <v>130.66</v>
      </c>
      <c r="P18" s="40"/>
      <c r="Q18" s="40"/>
      <c r="R18" s="36"/>
    </row>
    <row r="19" spans="1:18" ht="20.25" customHeight="1" x14ac:dyDescent="0.3">
      <c r="A19" s="22" t="s">
        <v>12</v>
      </c>
      <c r="B19" s="23">
        <v>46050</v>
      </c>
      <c r="C19" s="22">
        <v>7755.1</v>
      </c>
      <c r="D19" s="22">
        <v>7755.1</v>
      </c>
      <c r="E19" s="22">
        <f t="shared" si="0"/>
        <v>0</v>
      </c>
      <c r="F19" s="1"/>
      <c r="G19" s="1"/>
      <c r="J19" s="79" t="s">
        <v>80</v>
      </c>
      <c r="K19" s="80"/>
      <c r="L19" s="19">
        <v>3127.8</v>
      </c>
      <c r="M19" s="19">
        <v>0</v>
      </c>
      <c r="N19" s="18">
        <f t="shared" si="1"/>
        <v>3127.8</v>
      </c>
      <c r="P19" s="40"/>
      <c r="Q19" s="40"/>
      <c r="R19" s="36"/>
    </row>
    <row r="20" spans="1:18" ht="20.25" customHeight="1" x14ac:dyDescent="0.3">
      <c r="A20" s="22" t="s">
        <v>13</v>
      </c>
      <c r="B20" s="23">
        <v>46058</v>
      </c>
      <c r="C20" s="22">
        <v>15464.3</v>
      </c>
      <c r="D20" s="22">
        <v>15464.3</v>
      </c>
      <c r="E20" s="22">
        <f t="shared" si="0"/>
        <v>0</v>
      </c>
      <c r="F20" s="1"/>
      <c r="G20" s="1"/>
      <c r="J20" s="79" t="s">
        <v>79</v>
      </c>
      <c r="K20" s="80"/>
      <c r="L20" s="19">
        <v>166.77</v>
      </c>
      <c r="M20" s="19">
        <v>0</v>
      </c>
      <c r="N20" s="18">
        <f t="shared" si="1"/>
        <v>166.77</v>
      </c>
      <c r="P20" s="40"/>
      <c r="Q20" s="40"/>
      <c r="R20" s="36"/>
    </row>
    <row r="21" spans="1:18" s="6" customFormat="1" ht="20.25" customHeight="1" x14ac:dyDescent="0.3">
      <c r="A21" s="3" t="s">
        <v>16</v>
      </c>
      <c r="B21" s="4">
        <v>46058</v>
      </c>
      <c r="C21" s="3">
        <v>296.39999999999998</v>
      </c>
      <c r="D21" s="3">
        <v>0</v>
      </c>
      <c r="E21" s="3">
        <f t="shared" si="0"/>
        <v>296.39999999999998</v>
      </c>
      <c r="F21" s="5"/>
      <c r="G21" s="5"/>
      <c r="J21" s="79" t="s">
        <v>78</v>
      </c>
      <c r="K21" s="80"/>
      <c r="L21" s="32">
        <v>220.81</v>
      </c>
      <c r="M21" s="32">
        <v>0</v>
      </c>
      <c r="N21" s="18">
        <f t="shared" si="1"/>
        <v>220.81</v>
      </c>
      <c r="P21" s="41"/>
      <c r="Q21" s="41"/>
      <c r="R21" s="38"/>
    </row>
    <row r="22" spans="1:18" ht="20.25" customHeight="1" x14ac:dyDescent="0.3">
      <c r="A22" s="30" t="s">
        <v>15</v>
      </c>
      <c r="B22" s="31">
        <v>46058</v>
      </c>
      <c r="C22" s="30">
        <v>398.4</v>
      </c>
      <c r="D22" s="30">
        <v>398.4</v>
      </c>
      <c r="E22" s="30">
        <f t="shared" si="0"/>
        <v>0</v>
      </c>
      <c r="F22" s="1"/>
      <c r="G22" s="1"/>
      <c r="J22" s="81" t="s">
        <v>81</v>
      </c>
      <c r="K22" s="82"/>
      <c r="L22" s="49">
        <v>5275</v>
      </c>
      <c r="M22" s="49">
        <v>4871.8999999999996</v>
      </c>
      <c r="N22" s="50">
        <f t="shared" si="1"/>
        <v>403.10000000000036</v>
      </c>
      <c r="P22" s="40"/>
      <c r="Q22" s="40"/>
      <c r="R22" s="36"/>
    </row>
    <row r="23" spans="1:18" ht="20.25" customHeight="1" x14ac:dyDescent="0.3">
      <c r="A23" s="24" t="s">
        <v>14</v>
      </c>
      <c r="B23" s="25">
        <v>46058</v>
      </c>
      <c r="C23" s="24">
        <v>3146</v>
      </c>
      <c r="D23" s="24">
        <v>3146</v>
      </c>
      <c r="E23" s="24">
        <f t="shared" si="0"/>
        <v>0</v>
      </c>
      <c r="F23" s="1"/>
      <c r="G23" s="1"/>
      <c r="J23" s="83" t="s">
        <v>82</v>
      </c>
      <c r="K23" s="84"/>
      <c r="L23" s="45">
        <v>445.4</v>
      </c>
      <c r="M23" s="45">
        <v>445.4</v>
      </c>
      <c r="N23" s="46">
        <f t="shared" si="1"/>
        <v>0</v>
      </c>
      <c r="P23" s="40"/>
      <c r="Q23" s="40"/>
      <c r="R23" s="36"/>
    </row>
    <row r="24" spans="1:18" ht="20.25" customHeight="1" x14ac:dyDescent="0.3">
      <c r="A24" s="22" t="s">
        <v>17</v>
      </c>
      <c r="B24" s="23">
        <v>46065</v>
      </c>
      <c r="C24" s="22">
        <v>19216.8</v>
      </c>
      <c r="D24" s="22">
        <v>19216.8</v>
      </c>
      <c r="E24" s="22">
        <f>C24-D24</f>
        <v>0</v>
      </c>
      <c r="F24" s="1"/>
      <c r="G24" s="1"/>
      <c r="J24" s="93" t="s">
        <v>83</v>
      </c>
      <c r="K24" s="93"/>
      <c r="L24" s="43">
        <v>8451.6</v>
      </c>
      <c r="M24" s="43">
        <v>8451.6</v>
      </c>
      <c r="N24" s="44">
        <f t="shared" si="1"/>
        <v>0</v>
      </c>
      <c r="P24" s="40"/>
      <c r="Q24" s="40"/>
      <c r="R24" s="36"/>
    </row>
    <row r="25" spans="1:18" ht="20.25" customHeight="1" x14ac:dyDescent="0.3">
      <c r="A25" s="22" t="s">
        <v>18</v>
      </c>
      <c r="B25" s="23">
        <v>46068</v>
      </c>
      <c r="C25" s="22">
        <v>18423.599999999999</v>
      </c>
      <c r="D25" s="22">
        <v>18423.599999999999</v>
      </c>
      <c r="E25" s="22">
        <f>C25-D25</f>
        <v>0</v>
      </c>
      <c r="F25" s="1"/>
      <c r="G25" s="1"/>
      <c r="J25" s="93" t="s">
        <v>84</v>
      </c>
      <c r="K25" s="93"/>
      <c r="L25" s="43">
        <v>7124</v>
      </c>
      <c r="M25" s="43">
        <v>7124</v>
      </c>
      <c r="N25" s="44">
        <f t="shared" si="1"/>
        <v>0</v>
      </c>
      <c r="P25" s="40"/>
      <c r="Q25" s="40"/>
      <c r="R25" s="36"/>
    </row>
    <row r="26" spans="1:18" ht="20.25" customHeight="1" x14ac:dyDescent="0.3">
      <c r="A26" s="22" t="s">
        <v>19</v>
      </c>
      <c r="B26" s="23">
        <v>46068</v>
      </c>
      <c r="C26" s="22">
        <v>876.8</v>
      </c>
      <c r="D26" s="22">
        <v>876.8</v>
      </c>
      <c r="E26" s="22">
        <f>C26-D26</f>
        <v>0</v>
      </c>
      <c r="F26" s="1"/>
      <c r="G26" s="1"/>
      <c r="J26" s="94" t="s">
        <v>85</v>
      </c>
      <c r="K26" s="94"/>
      <c r="L26" s="45">
        <v>3992.4</v>
      </c>
      <c r="M26" s="45">
        <v>3992.4</v>
      </c>
      <c r="N26" s="46">
        <f t="shared" si="1"/>
        <v>0</v>
      </c>
      <c r="P26" s="40"/>
      <c r="Q26" s="40"/>
      <c r="R26" s="36"/>
    </row>
    <row r="27" spans="1:18" ht="20.25" customHeight="1" x14ac:dyDescent="0.3">
      <c r="A27" s="22" t="s">
        <v>20</v>
      </c>
      <c r="B27" s="23">
        <v>46077</v>
      </c>
      <c r="C27" s="22">
        <v>19250.5</v>
      </c>
      <c r="D27" s="22">
        <v>19250.5</v>
      </c>
      <c r="E27" s="22">
        <f t="shared" si="0"/>
        <v>0</v>
      </c>
      <c r="F27" s="1"/>
      <c r="G27" s="1"/>
      <c r="J27" s="95" t="s">
        <v>87</v>
      </c>
      <c r="K27" s="95"/>
      <c r="L27" s="51">
        <v>3245.7</v>
      </c>
      <c r="M27" s="51">
        <v>2844.1</v>
      </c>
      <c r="N27" s="52">
        <f t="shared" si="1"/>
        <v>401.59999999999991</v>
      </c>
      <c r="P27" s="40"/>
      <c r="Q27" s="40"/>
      <c r="R27" s="36"/>
    </row>
    <row r="28" spans="1:18" ht="20.25" customHeight="1" x14ac:dyDescent="0.3">
      <c r="A28" s="22" t="s">
        <v>21</v>
      </c>
      <c r="B28" s="23">
        <v>46079</v>
      </c>
      <c r="C28" s="22">
        <v>19169.2</v>
      </c>
      <c r="D28" s="22">
        <v>19169.2</v>
      </c>
      <c r="E28" s="22">
        <f t="shared" si="0"/>
        <v>0</v>
      </c>
      <c r="F28" s="1"/>
      <c r="G28" s="1"/>
      <c r="J28" s="72" t="s">
        <v>86</v>
      </c>
      <c r="K28" s="72"/>
      <c r="L28" s="53">
        <v>3978.8</v>
      </c>
      <c r="M28" s="53">
        <v>3978.8</v>
      </c>
      <c r="N28" s="54">
        <f t="shared" si="1"/>
        <v>0</v>
      </c>
      <c r="P28" s="39"/>
      <c r="Q28" s="39"/>
      <c r="R28" s="39"/>
    </row>
    <row r="29" spans="1:18" ht="20.25" customHeight="1" x14ac:dyDescent="0.3">
      <c r="A29" s="22" t="s">
        <v>22</v>
      </c>
      <c r="B29" s="23">
        <v>46087</v>
      </c>
      <c r="C29" s="22">
        <v>19223.599999999999</v>
      </c>
      <c r="D29" s="22">
        <v>19223.599999999999</v>
      </c>
      <c r="E29" s="22">
        <f t="shared" si="0"/>
        <v>0</v>
      </c>
      <c r="F29" s="1"/>
      <c r="G29" s="1"/>
      <c r="J29" s="73" t="s">
        <v>88</v>
      </c>
      <c r="K29" s="74"/>
      <c r="L29" s="43">
        <v>19242.2</v>
      </c>
      <c r="M29" s="43">
        <v>19242.2</v>
      </c>
      <c r="N29" s="44">
        <f t="shared" si="1"/>
        <v>0</v>
      </c>
    </row>
    <row r="30" spans="1:18" ht="20.25" customHeight="1" x14ac:dyDescent="0.25">
      <c r="A30" s="22" t="s">
        <v>23</v>
      </c>
      <c r="B30" s="23">
        <v>46092</v>
      </c>
      <c r="C30" s="22">
        <v>19233.599999999999</v>
      </c>
      <c r="D30" s="22">
        <v>19233.599999999999</v>
      </c>
      <c r="E30" s="22">
        <f t="shared" si="0"/>
        <v>0</v>
      </c>
      <c r="F30" s="1"/>
      <c r="G30" s="1"/>
      <c r="J30" s="88" t="s">
        <v>75</v>
      </c>
      <c r="K30" s="89"/>
      <c r="L30" s="59">
        <f>SUM(L11:L29)</f>
        <v>60308.630000000005</v>
      </c>
      <c r="M30" s="59">
        <f>SUM(M11:M29)</f>
        <v>53635.600000000006</v>
      </c>
      <c r="N30" s="61">
        <f>SUM(N11:N29)</f>
        <v>6673.0300000000007</v>
      </c>
    </row>
    <row r="31" spans="1:18" ht="20.25" customHeight="1" x14ac:dyDescent="0.25">
      <c r="A31" s="22" t="s">
        <v>24</v>
      </c>
      <c r="B31" s="23">
        <v>46096</v>
      </c>
      <c r="C31" s="22">
        <v>19172</v>
      </c>
      <c r="D31" s="22">
        <v>19172</v>
      </c>
      <c r="E31" s="22">
        <f t="shared" si="0"/>
        <v>0</v>
      </c>
      <c r="F31" s="1"/>
      <c r="G31" s="1"/>
      <c r="J31" s="90"/>
      <c r="K31" s="91"/>
      <c r="L31" s="60"/>
      <c r="M31" s="60"/>
      <c r="N31" s="60"/>
    </row>
    <row r="32" spans="1:18" ht="20.25" customHeight="1" x14ac:dyDescent="0.25">
      <c r="A32" s="22" t="s">
        <v>25</v>
      </c>
      <c r="B32" s="23">
        <v>46101</v>
      </c>
      <c r="C32" s="22">
        <v>19255.599999999999</v>
      </c>
      <c r="D32" s="22">
        <v>19255.599999999999</v>
      </c>
      <c r="E32" s="22">
        <f t="shared" si="0"/>
        <v>0</v>
      </c>
      <c r="F32" s="1"/>
      <c r="G32" s="1"/>
    </row>
    <row r="33" spans="1:14" ht="20.25" customHeight="1" x14ac:dyDescent="0.25">
      <c r="A33" s="22" t="s">
        <v>27</v>
      </c>
      <c r="B33" s="23">
        <v>46107</v>
      </c>
      <c r="C33" s="22">
        <v>16081.4</v>
      </c>
      <c r="D33" s="22">
        <v>16081.4</v>
      </c>
      <c r="E33" s="22">
        <f t="shared" si="0"/>
        <v>0</v>
      </c>
      <c r="F33" s="1"/>
      <c r="G33" s="1"/>
    </row>
    <row r="34" spans="1:14" ht="20.25" customHeight="1" x14ac:dyDescent="0.25">
      <c r="A34" s="24" t="s">
        <v>26</v>
      </c>
      <c r="B34" s="25">
        <v>46107</v>
      </c>
      <c r="C34" s="24">
        <v>3124.4</v>
      </c>
      <c r="D34" s="24">
        <v>3124.4</v>
      </c>
      <c r="E34" s="24">
        <f t="shared" si="0"/>
        <v>0</v>
      </c>
      <c r="F34" s="1"/>
      <c r="G34" s="1"/>
    </row>
    <row r="35" spans="1:14" ht="20.25" customHeight="1" x14ac:dyDescent="0.25">
      <c r="A35" s="22" t="s">
        <v>28</v>
      </c>
      <c r="B35" s="23">
        <v>46109</v>
      </c>
      <c r="C35" s="22">
        <v>11241.5</v>
      </c>
      <c r="D35" s="22">
        <v>11241.5</v>
      </c>
      <c r="E35" s="22">
        <f t="shared" si="0"/>
        <v>0</v>
      </c>
      <c r="F35" s="1"/>
      <c r="G35" s="1"/>
    </row>
    <row r="36" spans="1:14" ht="20.25" customHeight="1" x14ac:dyDescent="0.25">
      <c r="A36" s="24" t="s">
        <v>29</v>
      </c>
      <c r="B36" s="25">
        <v>46109</v>
      </c>
      <c r="C36" s="24">
        <v>5571.5</v>
      </c>
      <c r="D36" s="24">
        <v>5571.5</v>
      </c>
      <c r="E36" s="24">
        <f t="shared" si="0"/>
        <v>0</v>
      </c>
      <c r="F36" s="1"/>
      <c r="G36" s="1"/>
    </row>
    <row r="37" spans="1:14" s="6" customFormat="1" ht="20.25" customHeight="1" x14ac:dyDescent="0.25">
      <c r="A37" s="3" t="s">
        <v>46</v>
      </c>
      <c r="B37" s="4">
        <v>46109</v>
      </c>
      <c r="C37" s="3">
        <v>1554.5</v>
      </c>
      <c r="D37" s="3">
        <v>0</v>
      </c>
      <c r="E37" s="3">
        <f t="shared" si="0"/>
        <v>1554.5</v>
      </c>
      <c r="F37" s="5"/>
      <c r="G37" s="5"/>
    </row>
    <row r="38" spans="1:14" s="6" customFormat="1" ht="20.25" customHeight="1" x14ac:dyDescent="0.25">
      <c r="A38" s="3" t="s">
        <v>47</v>
      </c>
      <c r="B38" s="4">
        <v>46109</v>
      </c>
      <c r="C38" s="3">
        <v>807.4</v>
      </c>
      <c r="D38" s="3">
        <v>0</v>
      </c>
      <c r="E38" s="3">
        <f t="shared" si="0"/>
        <v>807.4</v>
      </c>
      <c r="F38" s="5"/>
      <c r="G38" s="5"/>
      <c r="J38" s="62" t="s">
        <v>89</v>
      </c>
      <c r="K38" s="62"/>
      <c r="L38" s="62"/>
      <c r="M38" s="62"/>
      <c r="N38" s="62"/>
    </row>
    <row r="39" spans="1:14" ht="20.25" customHeight="1" x14ac:dyDescent="0.25">
      <c r="A39" s="22" t="s">
        <v>35</v>
      </c>
      <c r="B39" s="23">
        <v>46120</v>
      </c>
      <c r="C39" s="22">
        <v>11247.8</v>
      </c>
      <c r="D39" s="22">
        <v>11247.8</v>
      </c>
      <c r="E39" s="22">
        <f t="shared" si="0"/>
        <v>0</v>
      </c>
      <c r="F39" s="1"/>
      <c r="G39" s="1"/>
      <c r="J39" s="62"/>
      <c r="K39" s="62"/>
      <c r="L39" s="62"/>
      <c r="M39" s="62"/>
      <c r="N39" s="62"/>
    </row>
    <row r="40" spans="1:14" s="6" customFormat="1" ht="20.25" customHeight="1" x14ac:dyDescent="0.25">
      <c r="A40" s="34" t="s">
        <v>30</v>
      </c>
      <c r="B40" s="35">
        <v>46120</v>
      </c>
      <c r="C40" s="34">
        <v>2292.6</v>
      </c>
      <c r="D40" s="34">
        <v>1084.7</v>
      </c>
      <c r="E40" s="34">
        <f t="shared" si="0"/>
        <v>1207.8999999999999</v>
      </c>
      <c r="F40" s="5"/>
      <c r="G40" s="5"/>
      <c r="J40" s="96" t="s">
        <v>64</v>
      </c>
      <c r="K40" s="99" t="s">
        <v>71</v>
      </c>
      <c r="L40" s="99" t="s">
        <v>65</v>
      </c>
      <c r="M40" s="102" t="s">
        <v>66</v>
      </c>
      <c r="N40" s="102"/>
    </row>
    <row r="41" spans="1:14" s="6" customFormat="1" ht="20.25" customHeight="1" x14ac:dyDescent="0.25">
      <c r="A41" s="28" t="s">
        <v>34</v>
      </c>
      <c r="B41" s="29">
        <v>46120</v>
      </c>
      <c r="C41" s="28">
        <v>2005.7</v>
      </c>
      <c r="D41" s="28">
        <v>802.8</v>
      </c>
      <c r="E41" s="28">
        <f t="shared" si="0"/>
        <v>1202.9000000000001</v>
      </c>
      <c r="F41" s="5"/>
      <c r="G41" s="5"/>
      <c r="J41" s="97"/>
      <c r="K41" s="100"/>
      <c r="L41" s="100"/>
      <c r="M41" s="102"/>
      <c r="N41" s="102"/>
    </row>
    <row r="42" spans="1:14" s="6" customFormat="1" ht="20.25" customHeight="1" x14ac:dyDescent="0.25">
      <c r="A42" s="3" t="s">
        <v>33</v>
      </c>
      <c r="B42" s="4">
        <v>46120</v>
      </c>
      <c r="C42" s="3">
        <v>1986.3</v>
      </c>
      <c r="D42" s="3">
        <v>0</v>
      </c>
      <c r="E42" s="3">
        <f t="shared" si="0"/>
        <v>1986.3</v>
      </c>
      <c r="F42" s="5"/>
      <c r="G42" s="5"/>
      <c r="J42" s="98"/>
      <c r="K42" s="101"/>
      <c r="L42" s="101"/>
      <c r="M42" s="102"/>
      <c r="N42" s="102"/>
    </row>
    <row r="43" spans="1:14" s="6" customFormat="1" ht="20.25" customHeight="1" x14ac:dyDescent="0.35">
      <c r="A43" s="3" t="s">
        <v>32</v>
      </c>
      <c r="B43" s="4">
        <v>46120</v>
      </c>
      <c r="C43" s="3">
        <v>672.8</v>
      </c>
      <c r="D43" s="3">
        <v>0</v>
      </c>
      <c r="E43" s="3">
        <f t="shared" si="0"/>
        <v>672.8</v>
      </c>
      <c r="F43" s="5"/>
      <c r="G43" s="5"/>
      <c r="J43" s="13" t="s">
        <v>67</v>
      </c>
      <c r="K43" s="16">
        <f>D11+D12+D13+D16+D19+D18+D20+D24+D25+D26+D27+D28+D29+D30+D31+D32+D33+D35+D39+D45+D47+D48+D49+D51+D53+D55</f>
        <v>374800.6</v>
      </c>
      <c r="L43" s="13">
        <f>M24+M25+M29</f>
        <v>34817.800000000003</v>
      </c>
      <c r="M43" s="85">
        <f t="shared" ref="M43:M52" si="2">K43+L43</f>
        <v>409618.39999999997</v>
      </c>
      <c r="N43" s="86"/>
    </row>
    <row r="44" spans="1:14" s="6" customFormat="1" ht="20.25" customHeight="1" x14ac:dyDescent="0.35">
      <c r="A44" s="3" t="s">
        <v>31</v>
      </c>
      <c r="B44" s="4">
        <v>46120</v>
      </c>
      <c r="C44" s="3">
        <v>982.4</v>
      </c>
      <c r="D44" s="3">
        <v>0</v>
      </c>
      <c r="E44" s="3">
        <f t="shared" si="0"/>
        <v>982.4</v>
      </c>
      <c r="F44" s="5"/>
      <c r="G44" s="5"/>
      <c r="J44" s="13" t="s">
        <v>68</v>
      </c>
      <c r="K44" s="13">
        <f>D34+D36+D50+D52+D56+D23+D15</f>
        <v>27227.999999999996</v>
      </c>
      <c r="L44" s="13">
        <f>M15+M23+M26</f>
        <v>5135</v>
      </c>
      <c r="M44" s="87">
        <f t="shared" si="2"/>
        <v>32362.999999999996</v>
      </c>
      <c r="N44" s="86"/>
    </row>
    <row r="45" spans="1:14" ht="20.25" customHeight="1" x14ac:dyDescent="0.35">
      <c r="A45" s="22" t="s">
        <v>36</v>
      </c>
      <c r="B45" s="23">
        <v>46126</v>
      </c>
      <c r="C45" s="22">
        <v>17207.599999999999</v>
      </c>
      <c r="D45" s="22">
        <v>17207.599999999999</v>
      </c>
      <c r="E45" s="22">
        <f t="shared" si="0"/>
        <v>0</v>
      </c>
      <c r="F45" s="1"/>
      <c r="G45" s="1"/>
      <c r="J45" s="13" t="s">
        <v>72</v>
      </c>
      <c r="K45" s="13">
        <f>D14+D17+D46</f>
        <v>24391.5</v>
      </c>
      <c r="L45" s="13"/>
      <c r="M45" s="85">
        <f t="shared" si="2"/>
        <v>24391.5</v>
      </c>
      <c r="N45" s="86"/>
    </row>
    <row r="46" spans="1:14" ht="20.25" customHeight="1" x14ac:dyDescent="0.35">
      <c r="A46" s="26" t="s">
        <v>37</v>
      </c>
      <c r="B46" s="27">
        <v>46126</v>
      </c>
      <c r="C46" s="26">
        <v>1994</v>
      </c>
      <c r="D46" s="26">
        <v>1994</v>
      </c>
      <c r="E46" s="26">
        <f t="shared" si="0"/>
        <v>0</v>
      </c>
      <c r="F46" s="1"/>
      <c r="G46" s="1"/>
      <c r="J46" s="13" t="s">
        <v>69</v>
      </c>
      <c r="K46" s="16">
        <f>D41</f>
        <v>802.8</v>
      </c>
      <c r="L46" s="13">
        <f>M28</f>
        <v>3978.8</v>
      </c>
      <c r="M46" s="85">
        <f t="shared" si="2"/>
        <v>4781.6000000000004</v>
      </c>
      <c r="N46" s="86"/>
    </row>
    <row r="47" spans="1:14" ht="20.25" customHeight="1" x14ac:dyDescent="0.35">
      <c r="A47" s="22" t="s">
        <v>38</v>
      </c>
      <c r="B47" s="23">
        <v>46127</v>
      </c>
      <c r="C47" s="22">
        <v>19120.599999999999</v>
      </c>
      <c r="D47" s="22">
        <v>19120.599999999999</v>
      </c>
      <c r="E47" s="22">
        <f t="shared" si="0"/>
        <v>0</v>
      </c>
      <c r="F47" s="1"/>
      <c r="G47" s="1"/>
      <c r="J47" s="13" t="s">
        <v>70</v>
      </c>
      <c r="K47" s="13"/>
      <c r="L47" s="13">
        <f>M22</f>
        <v>4871.8999999999996</v>
      </c>
      <c r="M47" s="85">
        <f t="shared" si="2"/>
        <v>4871.8999999999996</v>
      </c>
      <c r="N47" s="86"/>
    </row>
    <row r="48" spans="1:14" ht="20.25" customHeight="1" x14ac:dyDescent="0.35">
      <c r="A48" s="22" t="s">
        <v>39</v>
      </c>
      <c r="B48" s="23">
        <v>46127</v>
      </c>
      <c r="C48" s="22">
        <v>6013.3</v>
      </c>
      <c r="D48" s="22">
        <v>6013.3</v>
      </c>
      <c r="E48" s="22">
        <f t="shared" si="0"/>
        <v>0</v>
      </c>
      <c r="F48" s="1"/>
      <c r="G48" s="1"/>
      <c r="J48" s="13" t="s">
        <v>90</v>
      </c>
      <c r="K48" s="13"/>
      <c r="L48" s="13">
        <v>2844.1</v>
      </c>
      <c r="M48" s="87">
        <f t="shared" si="2"/>
        <v>2844.1</v>
      </c>
      <c r="N48" s="86"/>
    </row>
    <row r="49" spans="1:14" ht="20.25" customHeight="1" x14ac:dyDescent="0.35">
      <c r="A49" s="22" t="s">
        <v>42</v>
      </c>
      <c r="B49" s="23">
        <v>46127</v>
      </c>
      <c r="C49" s="22">
        <v>8059.9</v>
      </c>
      <c r="D49" s="22">
        <v>8059.9</v>
      </c>
      <c r="E49" s="22">
        <f t="shared" si="0"/>
        <v>0</v>
      </c>
      <c r="F49" s="1"/>
      <c r="G49" s="1"/>
      <c r="J49" s="13" t="s">
        <v>50</v>
      </c>
      <c r="K49" s="16"/>
      <c r="L49" s="16">
        <f>M11</f>
        <v>1988</v>
      </c>
      <c r="M49" s="85">
        <f t="shared" si="2"/>
        <v>1988</v>
      </c>
      <c r="N49" s="86"/>
    </row>
    <row r="50" spans="1:14" ht="20.25" customHeight="1" x14ac:dyDescent="0.35">
      <c r="A50" s="24" t="s">
        <v>41</v>
      </c>
      <c r="B50" s="25">
        <v>46127</v>
      </c>
      <c r="C50" s="24">
        <v>5151.8999999999996</v>
      </c>
      <c r="D50" s="24">
        <v>5151.8999999999996</v>
      </c>
      <c r="E50" s="24">
        <f t="shared" si="0"/>
        <v>0</v>
      </c>
      <c r="F50" s="1"/>
      <c r="G50" s="1"/>
      <c r="J50" s="13"/>
      <c r="K50" s="16"/>
      <c r="L50" s="16"/>
      <c r="M50" s="85">
        <f t="shared" si="2"/>
        <v>0</v>
      </c>
      <c r="N50" s="86"/>
    </row>
    <row r="51" spans="1:14" ht="20.25" customHeight="1" x14ac:dyDescent="0.35">
      <c r="A51" s="22" t="s">
        <v>40</v>
      </c>
      <c r="B51" s="23">
        <v>46135</v>
      </c>
      <c r="C51" s="22">
        <v>16060.5</v>
      </c>
      <c r="D51" s="22">
        <v>16060.5</v>
      </c>
      <c r="E51" s="22">
        <f t="shared" si="0"/>
        <v>0</v>
      </c>
      <c r="F51" s="1"/>
      <c r="G51" s="1"/>
      <c r="J51" s="33" t="s">
        <v>73</v>
      </c>
      <c r="K51" s="33">
        <f>D22</f>
        <v>398.4</v>
      </c>
      <c r="L51" s="33"/>
      <c r="M51" s="75">
        <f t="shared" si="2"/>
        <v>398.4</v>
      </c>
      <c r="N51" s="76"/>
    </row>
    <row r="52" spans="1:14" ht="20.25" customHeight="1" x14ac:dyDescent="0.35">
      <c r="A52" s="24" t="s">
        <v>43</v>
      </c>
      <c r="B52" s="25">
        <v>46135</v>
      </c>
      <c r="C52" s="24">
        <v>3106.6</v>
      </c>
      <c r="D52" s="24">
        <v>3106.6</v>
      </c>
      <c r="E52" s="24">
        <f t="shared" si="0"/>
        <v>0</v>
      </c>
      <c r="F52" s="1"/>
      <c r="G52" s="1"/>
      <c r="J52" s="33" t="s">
        <v>74</v>
      </c>
      <c r="K52" s="33">
        <f>D40</f>
        <v>1084.7</v>
      </c>
      <c r="L52" s="33"/>
      <c r="M52" s="75">
        <f t="shared" si="2"/>
        <v>1084.7</v>
      </c>
      <c r="N52" s="76"/>
    </row>
    <row r="53" spans="1:14" ht="20.25" customHeight="1" x14ac:dyDescent="0.35">
      <c r="A53" s="22" t="s">
        <v>45</v>
      </c>
      <c r="B53" s="23">
        <v>46139</v>
      </c>
      <c r="C53" s="22">
        <v>14691.3</v>
      </c>
      <c r="D53" s="22">
        <v>14691.3</v>
      </c>
      <c r="E53" s="22">
        <f t="shared" si="0"/>
        <v>0</v>
      </c>
      <c r="F53" s="1"/>
      <c r="G53" s="1"/>
      <c r="J53" s="13"/>
      <c r="K53" s="13"/>
      <c r="L53" s="13"/>
      <c r="M53" s="77"/>
      <c r="N53" s="78"/>
    </row>
    <row r="54" spans="1:14" s="6" customFormat="1" ht="20.25" customHeight="1" x14ac:dyDescent="0.25">
      <c r="A54" s="3" t="s">
        <v>44</v>
      </c>
      <c r="B54" s="4">
        <v>46139</v>
      </c>
      <c r="C54" s="3">
        <v>3998.9</v>
      </c>
      <c r="D54" s="3">
        <v>0</v>
      </c>
      <c r="E54" s="3">
        <f t="shared" si="0"/>
        <v>3998.9</v>
      </c>
      <c r="F54" s="5"/>
      <c r="G54" s="5"/>
      <c r="J54" s="66" t="s">
        <v>75</v>
      </c>
      <c r="K54" s="67">
        <f>SUM(K43:K53)</f>
        <v>428706</v>
      </c>
      <c r="L54" s="66">
        <f>SUM(L43:L53)</f>
        <v>53635.600000000006</v>
      </c>
      <c r="M54" s="67">
        <f>SUM(M43:N53)</f>
        <v>482341.6</v>
      </c>
      <c r="N54" s="66"/>
    </row>
    <row r="55" spans="1:14" ht="20.25" customHeight="1" x14ac:dyDescent="0.25">
      <c r="A55" s="22" t="s">
        <v>96</v>
      </c>
      <c r="B55" s="23">
        <v>46149</v>
      </c>
      <c r="C55" s="22">
        <v>16088.9</v>
      </c>
      <c r="D55" s="22">
        <v>16088.9</v>
      </c>
      <c r="E55" s="22">
        <f t="shared" si="0"/>
        <v>0</v>
      </c>
      <c r="F55" s="1"/>
      <c r="G55" s="1"/>
      <c r="J55" s="66"/>
      <c r="K55" s="66"/>
      <c r="L55" s="66"/>
      <c r="M55" s="66"/>
      <c r="N55" s="66"/>
    </row>
    <row r="56" spans="1:14" ht="20.25" customHeight="1" x14ac:dyDescent="0.25">
      <c r="A56" s="24" t="s">
        <v>97</v>
      </c>
      <c r="B56" s="25">
        <v>46149</v>
      </c>
      <c r="C56" s="24">
        <v>3110.3</v>
      </c>
      <c r="D56" s="24">
        <v>3110.3</v>
      </c>
      <c r="E56" s="24">
        <f t="shared" si="0"/>
        <v>0</v>
      </c>
      <c r="F56" s="1"/>
      <c r="G56" s="1"/>
    </row>
    <row r="57" spans="1:14" ht="37.5" customHeight="1" x14ac:dyDescent="0.35">
      <c r="A57" s="42" t="s">
        <v>75</v>
      </c>
      <c r="B57" s="42"/>
      <c r="C57" s="42">
        <f>SUM(C11:C56)</f>
        <v>441415.50000000006</v>
      </c>
      <c r="D57" s="42">
        <f>SUM(D11:D56)</f>
        <v>428706</v>
      </c>
      <c r="E57" s="42">
        <f>SUM(E11:E56)</f>
        <v>12709.5</v>
      </c>
    </row>
    <row r="59" spans="1:14" ht="39" customHeight="1" x14ac:dyDescent="0.25">
      <c r="J59" s="68" t="s">
        <v>93</v>
      </c>
      <c r="K59" s="68"/>
      <c r="L59" s="68"/>
      <c r="M59" s="68"/>
    </row>
    <row r="60" spans="1:14" ht="39" customHeight="1" x14ac:dyDescent="0.25">
      <c r="J60" s="57" t="s">
        <v>91</v>
      </c>
      <c r="K60" s="57" t="s">
        <v>92</v>
      </c>
      <c r="L60" s="57" t="s">
        <v>3</v>
      </c>
      <c r="M60" s="57" t="s">
        <v>4</v>
      </c>
    </row>
    <row r="61" spans="1:14" ht="21" customHeight="1" x14ac:dyDescent="0.25">
      <c r="J61" s="69" t="s">
        <v>94</v>
      </c>
      <c r="K61" s="65">
        <f>C57</f>
        <v>441415.50000000006</v>
      </c>
      <c r="L61" s="63">
        <f>K54</f>
        <v>428706</v>
      </c>
      <c r="M61" s="63">
        <f>K61-L61</f>
        <v>12709.500000000058</v>
      </c>
    </row>
    <row r="62" spans="1:14" ht="21" customHeight="1" x14ac:dyDescent="0.25">
      <c r="J62" s="64"/>
      <c r="K62" s="64"/>
      <c r="L62" s="64"/>
      <c r="M62" s="64"/>
    </row>
    <row r="63" spans="1:14" ht="21" customHeight="1" x14ac:dyDescent="0.25">
      <c r="J63" s="69" t="s">
        <v>95</v>
      </c>
      <c r="K63" s="70">
        <f>L30</f>
        <v>60308.630000000005</v>
      </c>
      <c r="L63" s="65">
        <f>L54</f>
        <v>53635.600000000006</v>
      </c>
      <c r="M63" s="63">
        <f>K63-L63</f>
        <v>6673.0299999999988</v>
      </c>
    </row>
    <row r="64" spans="1:14" ht="21" customHeight="1" x14ac:dyDescent="0.25">
      <c r="J64" s="64"/>
      <c r="K64" s="71"/>
      <c r="L64" s="64"/>
      <c r="M64" s="64"/>
    </row>
    <row r="65" spans="10:13" ht="42.75" customHeight="1" x14ac:dyDescent="0.25">
      <c r="J65" s="55" t="s">
        <v>75</v>
      </c>
      <c r="K65" s="56">
        <f>SUM(K61:K64)</f>
        <v>501724.13000000006</v>
      </c>
      <c r="L65" s="56">
        <f>SUM(L61:L64)</f>
        <v>482341.6</v>
      </c>
      <c r="M65" s="56">
        <f>SUM(M61:M64)</f>
        <v>19382.530000000057</v>
      </c>
    </row>
    <row r="67" spans="10:13" x14ac:dyDescent="0.25">
      <c r="K67" s="58"/>
    </row>
    <row r="69" spans="10:13" x14ac:dyDescent="0.25">
      <c r="L69" s="58"/>
    </row>
  </sheetData>
  <mergeCells count="56">
    <mergeCell ref="A9:E9"/>
    <mergeCell ref="J17:K17"/>
    <mergeCell ref="J9:N9"/>
    <mergeCell ref="J10:K10"/>
    <mergeCell ref="J11:K11"/>
    <mergeCell ref="J12:K12"/>
    <mergeCell ref="J13:K13"/>
    <mergeCell ref="J14:K14"/>
    <mergeCell ref="C3:K4"/>
    <mergeCell ref="M51:N51"/>
    <mergeCell ref="J24:K24"/>
    <mergeCell ref="J25:K25"/>
    <mergeCell ref="J26:K26"/>
    <mergeCell ref="J27:K27"/>
    <mergeCell ref="M45:N45"/>
    <mergeCell ref="M46:N46"/>
    <mergeCell ref="J40:J42"/>
    <mergeCell ref="K40:K42"/>
    <mergeCell ref="L40:L42"/>
    <mergeCell ref="M40:N42"/>
    <mergeCell ref="M43:N43"/>
    <mergeCell ref="M44:N44"/>
    <mergeCell ref="J15:K15"/>
    <mergeCell ref="J16:K16"/>
    <mergeCell ref="J28:K28"/>
    <mergeCell ref="J29:K29"/>
    <mergeCell ref="M52:N52"/>
    <mergeCell ref="M53:N53"/>
    <mergeCell ref="J18:K18"/>
    <mergeCell ref="J19:K19"/>
    <mergeCell ref="J20:K20"/>
    <mergeCell ref="J21:K21"/>
    <mergeCell ref="J22:K22"/>
    <mergeCell ref="J23:K23"/>
    <mergeCell ref="M47:N47"/>
    <mergeCell ref="M48:N48"/>
    <mergeCell ref="M49:N49"/>
    <mergeCell ref="M50:N50"/>
    <mergeCell ref="J30:K31"/>
    <mergeCell ref="L30:L31"/>
    <mergeCell ref="M30:M31"/>
    <mergeCell ref="N30:N31"/>
    <mergeCell ref="J38:N39"/>
    <mergeCell ref="M61:M62"/>
    <mergeCell ref="M63:M64"/>
    <mergeCell ref="L63:L64"/>
    <mergeCell ref="J54:J55"/>
    <mergeCell ref="K54:K55"/>
    <mergeCell ref="L54:L55"/>
    <mergeCell ref="M54:N55"/>
    <mergeCell ref="J59:M59"/>
    <mergeCell ref="J61:J62"/>
    <mergeCell ref="J63:J64"/>
    <mergeCell ref="K61:K62"/>
    <mergeCell ref="K63:K64"/>
    <mergeCell ref="L61:L62"/>
  </mergeCells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8A19-3819-4F9D-A5F1-B14184D81B83}">
  <dimension ref="B3:F18"/>
  <sheetViews>
    <sheetView workbookViewId="0">
      <selection activeCell="H16" sqref="H16"/>
    </sheetView>
  </sheetViews>
  <sheetFormatPr baseColWidth="10" defaultRowHeight="15" x14ac:dyDescent="0.25"/>
  <cols>
    <col min="3" max="3" width="32" customWidth="1"/>
    <col min="4" max="4" width="19.140625" customWidth="1"/>
    <col min="5" max="5" width="19.7109375" customWidth="1"/>
    <col min="6" max="6" width="21.7109375" customWidth="1"/>
  </cols>
  <sheetData>
    <row r="3" spans="2:6" ht="15.75" thickBot="1" x14ac:dyDescent="0.3"/>
    <row r="4" spans="2:6" ht="64.5" customHeight="1" thickTop="1" x14ac:dyDescent="0.25">
      <c r="B4" s="116" t="s">
        <v>49</v>
      </c>
      <c r="C4" s="117"/>
      <c r="D4" s="14" t="s">
        <v>2</v>
      </c>
      <c r="E4" s="15" t="s">
        <v>3</v>
      </c>
      <c r="F4" s="14" t="s">
        <v>4</v>
      </c>
    </row>
    <row r="5" spans="2:6" ht="23.25" x14ac:dyDescent="0.35">
      <c r="B5" s="112" t="s">
        <v>50</v>
      </c>
      <c r="C5" s="113"/>
      <c r="D5" s="7">
        <v>4787.7</v>
      </c>
      <c r="E5" s="7">
        <v>2799.7</v>
      </c>
      <c r="F5" s="8">
        <f>D5-E5</f>
        <v>1988</v>
      </c>
    </row>
    <row r="6" spans="2:6" ht="23.25" x14ac:dyDescent="0.35">
      <c r="B6" s="112" t="s">
        <v>51</v>
      </c>
      <c r="C6" s="113"/>
      <c r="D6" s="7">
        <v>1793.3</v>
      </c>
      <c r="E6" s="7"/>
      <c r="F6" s="8">
        <f t="shared" ref="F6:F17" si="0">D6-E6</f>
        <v>1793.3</v>
      </c>
    </row>
    <row r="7" spans="2:6" ht="23.25" x14ac:dyDescent="0.35">
      <c r="B7" s="112" t="s">
        <v>52</v>
      </c>
      <c r="C7" s="113"/>
      <c r="D7" s="7">
        <v>802.5</v>
      </c>
      <c r="E7" s="7">
        <v>802.5</v>
      </c>
      <c r="F7" s="8">
        <f t="shared" si="0"/>
        <v>0</v>
      </c>
    </row>
    <row r="8" spans="2:6" ht="23.25" x14ac:dyDescent="0.35">
      <c r="B8" s="112" t="s">
        <v>53</v>
      </c>
      <c r="C8" s="113"/>
      <c r="D8" s="7">
        <v>1615.7</v>
      </c>
      <c r="E8" s="7">
        <v>1615.7</v>
      </c>
      <c r="F8" s="8">
        <f t="shared" si="0"/>
        <v>0</v>
      </c>
    </row>
    <row r="9" spans="2:6" ht="23.25" x14ac:dyDescent="0.35">
      <c r="B9" s="112" t="s">
        <v>54</v>
      </c>
      <c r="C9" s="113"/>
      <c r="D9" s="7">
        <v>33.799999999999997</v>
      </c>
      <c r="E9" s="7"/>
      <c r="F9" s="8">
        <f t="shared" si="0"/>
        <v>33.799999999999997</v>
      </c>
    </row>
    <row r="10" spans="2:6" ht="23.25" x14ac:dyDescent="0.35">
      <c r="B10" s="112" t="s">
        <v>55</v>
      </c>
      <c r="C10" s="113"/>
      <c r="D10" s="7">
        <v>22.91</v>
      </c>
      <c r="E10" s="7"/>
      <c r="F10" s="8">
        <f t="shared" si="0"/>
        <v>22.91</v>
      </c>
    </row>
    <row r="11" spans="2:6" ht="23.25" x14ac:dyDescent="0.35">
      <c r="B11" s="112" t="s">
        <v>56</v>
      </c>
      <c r="C11" s="113"/>
      <c r="D11" s="7">
        <v>446.3</v>
      </c>
      <c r="E11" s="7">
        <v>446.3</v>
      </c>
      <c r="F11" s="8">
        <f t="shared" si="0"/>
        <v>0</v>
      </c>
    </row>
    <row r="12" spans="2:6" ht="23.25" x14ac:dyDescent="0.35">
      <c r="B12" s="112" t="s">
        <v>57</v>
      </c>
      <c r="C12" s="113"/>
      <c r="D12" s="9">
        <v>4967.7</v>
      </c>
      <c r="E12" s="9">
        <v>4270.5</v>
      </c>
      <c r="F12" s="8">
        <f t="shared" si="0"/>
        <v>697.19999999999982</v>
      </c>
    </row>
    <row r="13" spans="2:6" ht="23.25" x14ac:dyDescent="0.35">
      <c r="B13" s="112" t="s">
        <v>58</v>
      </c>
      <c r="C13" s="113"/>
      <c r="D13" s="7">
        <v>289.22000000000003</v>
      </c>
      <c r="E13" s="7">
        <v>27.83</v>
      </c>
      <c r="F13" s="8">
        <f t="shared" si="0"/>
        <v>261.39000000000004</v>
      </c>
    </row>
    <row r="14" spans="2:6" ht="23.25" x14ac:dyDescent="0.35">
      <c r="B14" s="112" t="s">
        <v>59</v>
      </c>
      <c r="C14" s="113"/>
      <c r="D14" s="9">
        <v>2379.3000000000002</v>
      </c>
      <c r="E14" s="9">
        <v>2379.3000000000002</v>
      </c>
      <c r="F14" s="8">
        <f t="shared" si="0"/>
        <v>0</v>
      </c>
    </row>
    <row r="15" spans="2:6" ht="23.25" x14ac:dyDescent="0.35">
      <c r="B15" s="112" t="s">
        <v>60</v>
      </c>
      <c r="C15" s="113"/>
      <c r="D15" s="9">
        <v>2414.6999999999998</v>
      </c>
      <c r="E15" s="9">
        <v>2414.6999999999998</v>
      </c>
      <c r="F15" s="8">
        <f t="shared" si="0"/>
        <v>0</v>
      </c>
    </row>
    <row r="16" spans="2:6" ht="23.25" x14ac:dyDescent="0.35">
      <c r="B16" s="114" t="s">
        <v>61</v>
      </c>
      <c r="C16" s="115"/>
      <c r="D16" s="10">
        <v>8112</v>
      </c>
      <c r="E16" s="10">
        <v>8112</v>
      </c>
      <c r="F16" s="11">
        <f t="shared" si="0"/>
        <v>0</v>
      </c>
    </row>
    <row r="17" spans="2:6" ht="23.25" x14ac:dyDescent="0.35">
      <c r="B17" s="110" t="s">
        <v>62</v>
      </c>
      <c r="C17" s="111"/>
      <c r="D17" s="12">
        <v>4306.3999999999996</v>
      </c>
      <c r="E17" s="12">
        <v>4306.3999999999996</v>
      </c>
      <c r="F17" s="8">
        <f t="shared" si="0"/>
        <v>0</v>
      </c>
    </row>
    <row r="18" spans="2:6" ht="23.25" x14ac:dyDescent="0.35">
      <c r="B18" s="112"/>
      <c r="C18" s="113"/>
      <c r="D18" s="9"/>
      <c r="E18" s="13"/>
      <c r="F18" s="13"/>
    </row>
  </sheetData>
  <mergeCells count="15">
    <mergeCell ref="B8:C8"/>
    <mergeCell ref="B9:C9"/>
    <mergeCell ref="B10:C10"/>
    <mergeCell ref="B4:C4"/>
    <mergeCell ref="B5:C5"/>
    <mergeCell ref="B6:C6"/>
    <mergeCell ref="B7:C7"/>
    <mergeCell ref="B17:C17"/>
    <mergeCell ref="B18:C18"/>
    <mergeCell ref="B13:C13"/>
    <mergeCell ref="B14:C14"/>
    <mergeCell ref="B11:C11"/>
    <mergeCell ref="B12:C12"/>
    <mergeCell ref="B15:C15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</dc:creator>
  <cp:lastModifiedBy>ALMACEN</cp:lastModifiedBy>
  <dcterms:created xsi:type="dcterms:W3CDTF">2026-06-01T17:17:10Z</dcterms:created>
  <dcterms:modified xsi:type="dcterms:W3CDTF">2026-06-17T18:31:38Z</dcterms:modified>
</cp:coreProperties>
</file>